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71816A37-0A25-40F4-987C-89CCB193C140}" xr6:coauthVersionLast="47" xr6:coauthVersionMax="47" xr10:uidLastSave="{00000000-0000-0000-0000-000000000000}"/>
  <bookViews>
    <workbookView xWindow="-113" yWindow="-113" windowWidth="24267" windowHeight="13023" activeTab="1" xr2:uid="{00000000-000D-0000-FFFF-FFFF00000000}"/>
  </bookViews>
  <sheets>
    <sheet name="List1" sheetId="1" r:id="rId1"/>
    <sheet name="List2" sheetId="2" r:id="rId2"/>
    <sheet name="RNP|ProctoStop" sheetId="9" state="hidden" r:id="rId3"/>
  </sheets>
  <definedNames>
    <definedName name="_xlnm._FilterDatabase" localSheetId="0" hidden="1">List1!$A$1:$AE$426</definedName>
    <definedName name="_xlnm._FilterDatabase" localSheetId="1" hidden="1">List2!$A$1:$K$85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87" i="9" l="1"/>
  <c r="AG87" i="9"/>
  <c r="AF87" i="9"/>
  <c r="AB87" i="9"/>
  <c r="AA87" i="9"/>
  <c r="Z87" i="9"/>
  <c r="X87" i="9"/>
  <c r="W87" i="9"/>
  <c r="T87" i="9"/>
  <c r="K87" i="9"/>
  <c r="J87" i="9"/>
  <c r="I87" i="9"/>
  <c r="H87" i="9"/>
  <c r="AJ86" i="9"/>
  <c r="AI86" i="9"/>
  <c r="AH86" i="9"/>
  <c r="AG86" i="9"/>
  <c r="AF86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5" i="9"/>
  <c r="E86" i="9" s="1"/>
  <c r="D85" i="9"/>
  <c r="C85" i="9"/>
  <c r="AJ84" i="9"/>
  <c r="AI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3" i="9"/>
  <c r="D83" i="9"/>
  <c r="C83" i="9"/>
  <c r="AI80" i="9"/>
  <c r="AE80" i="9"/>
  <c r="AD80" i="9"/>
  <c r="AC80" i="9"/>
  <c r="AB80" i="9"/>
  <c r="AA80" i="9"/>
  <c r="Y80" i="9"/>
  <c r="W80" i="9"/>
  <c r="T80" i="9"/>
  <c r="S80" i="9"/>
  <c r="R80" i="9"/>
  <c r="Q80" i="9"/>
  <c r="P80" i="9"/>
  <c r="O80" i="9"/>
  <c r="M80" i="9"/>
  <c r="J80" i="9"/>
  <c r="H80" i="9"/>
  <c r="F80" i="9"/>
  <c r="E79" i="9"/>
  <c r="AJ78" i="9"/>
  <c r="AH78" i="9"/>
  <c r="AF78" i="9"/>
  <c r="AE78" i="9"/>
  <c r="AD78" i="9"/>
  <c r="AC78" i="9"/>
  <c r="AB78" i="9"/>
  <c r="AA78" i="9"/>
  <c r="T78" i="9"/>
  <c r="S78" i="9"/>
  <c r="R78" i="9"/>
  <c r="Q78" i="9"/>
  <c r="P78" i="9"/>
  <c r="O78" i="9"/>
  <c r="N78" i="9"/>
  <c r="L78" i="9"/>
  <c r="J78" i="9"/>
  <c r="H78" i="9"/>
  <c r="F78" i="9"/>
  <c r="E77" i="9"/>
  <c r="AI76" i="9"/>
  <c r="AF76" i="9"/>
  <c r="AC76" i="9"/>
  <c r="AB76" i="9"/>
  <c r="AA76" i="9"/>
  <c r="Y76" i="9"/>
  <c r="W76" i="9"/>
  <c r="T76" i="9"/>
  <c r="S76" i="9"/>
  <c r="R76" i="9"/>
  <c r="O76" i="9"/>
  <c r="N76" i="9"/>
  <c r="M76" i="9"/>
  <c r="J76" i="9"/>
  <c r="I76" i="9"/>
  <c r="H76" i="9"/>
  <c r="F76" i="9"/>
  <c r="E75" i="9"/>
  <c r="C75" i="9"/>
  <c r="E74" i="9"/>
  <c r="AJ73" i="9"/>
  <c r="AI73" i="9"/>
  <c r="AI78" i="9" s="1"/>
  <c r="AH73" i="9"/>
  <c r="AH76" i="9" s="1"/>
  <c r="AG73" i="9"/>
  <c r="AF73" i="9"/>
  <c r="AF80" i="9" s="1"/>
  <c r="AE73" i="9"/>
  <c r="AE76" i="9" s="1"/>
  <c r="AD73" i="9"/>
  <c r="AD76" i="9" s="1"/>
  <c r="AC73" i="9"/>
  <c r="AB73" i="9"/>
  <c r="AA73" i="9"/>
  <c r="Z73" i="9"/>
  <c r="Y73" i="9"/>
  <c r="Y78" i="9" s="1"/>
  <c r="X73" i="9"/>
  <c r="W73" i="9"/>
  <c r="W78" i="9" s="1"/>
  <c r="V73" i="9"/>
  <c r="U73" i="9"/>
  <c r="Q73" i="9"/>
  <c r="Q76" i="9" s="1"/>
  <c r="P73" i="9"/>
  <c r="P76" i="9" s="1"/>
  <c r="O73" i="9"/>
  <c r="N73" i="9"/>
  <c r="N80" i="9" s="1"/>
  <c r="M73" i="9"/>
  <c r="M78" i="9" s="1"/>
  <c r="L73" i="9"/>
  <c r="K73" i="9"/>
  <c r="J73" i="9"/>
  <c r="I73" i="9"/>
  <c r="H73" i="9"/>
  <c r="G73" i="9"/>
  <c r="E73" i="9"/>
  <c r="AJ70" i="9"/>
  <c r="AI70" i="9"/>
  <c r="AF70" i="9"/>
  <c r="AA70" i="9"/>
  <c r="Y70" i="9"/>
  <c r="X70" i="9"/>
  <c r="W70" i="9"/>
  <c r="O70" i="9"/>
  <c r="N70" i="9"/>
  <c r="M70" i="9"/>
  <c r="L70" i="9"/>
  <c r="K70" i="9"/>
  <c r="J70" i="9"/>
  <c r="I70" i="9"/>
  <c r="AJ69" i="9"/>
  <c r="AI69" i="9"/>
  <c r="AH69" i="9"/>
  <c r="AH70" i="9" s="1"/>
  <c r="AG69" i="9"/>
  <c r="AG70" i="9" s="1"/>
  <c r="AF69" i="9"/>
  <c r="AE69" i="9"/>
  <c r="AE70" i="9" s="1"/>
  <c r="AD69" i="9"/>
  <c r="AD70" i="9" s="1"/>
  <c r="AC69" i="9"/>
  <c r="AC70" i="9" s="1"/>
  <c r="AB69" i="9"/>
  <c r="AB70" i="9" s="1"/>
  <c r="AA69" i="9"/>
  <c r="Z69" i="9"/>
  <c r="Z70" i="9" s="1"/>
  <c r="Y69" i="9"/>
  <c r="X69" i="9"/>
  <c r="W69" i="9"/>
  <c r="V69" i="9"/>
  <c r="V70" i="9" s="1"/>
  <c r="U69" i="9"/>
  <c r="U70" i="9" s="1"/>
  <c r="T69" i="9"/>
  <c r="T70" i="9" s="1"/>
  <c r="S69" i="9"/>
  <c r="S70" i="9" s="1"/>
  <c r="R69" i="9"/>
  <c r="R70" i="9" s="1"/>
  <c r="Q69" i="9"/>
  <c r="Q70" i="9" s="1"/>
  <c r="P69" i="9"/>
  <c r="P70" i="9" s="1"/>
  <c r="O69" i="9"/>
  <c r="N69" i="9"/>
  <c r="M69" i="9"/>
  <c r="L69" i="9"/>
  <c r="K69" i="9"/>
  <c r="J69" i="9"/>
  <c r="I69" i="9"/>
  <c r="H69" i="9"/>
  <c r="H70" i="9" s="1"/>
  <c r="G69" i="9"/>
  <c r="G70" i="9" s="1"/>
  <c r="F69" i="9"/>
  <c r="F70" i="9" s="1"/>
  <c r="E69" i="9"/>
  <c r="E70" i="9" s="1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E67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E65" i="9"/>
  <c r="C65" i="9"/>
  <c r="E64" i="9"/>
  <c r="AI60" i="9"/>
  <c r="AG60" i="9"/>
  <c r="AE60" i="9"/>
  <c r="AD60" i="9"/>
  <c r="AC60" i="9"/>
  <c r="Q60" i="9"/>
  <c r="O60" i="9"/>
  <c r="N60" i="9"/>
  <c r="K60" i="9"/>
  <c r="I60" i="9"/>
  <c r="G60" i="9"/>
  <c r="AI59" i="9"/>
  <c r="AH59" i="9"/>
  <c r="AB59" i="9"/>
  <c r="Y59" i="9"/>
  <c r="X59" i="9"/>
  <c r="W59" i="9"/>
  <c r="V59" i="9"/>
  <c r="M59" i="9"/>
  <c r="K59" i="9"/>
  <c r="J59" i="9"/>
  <c r="I59" i="9"/>
  <c r="G59" i="9"/>
  <c r="AJ58" i="9"/>
  <c r="AJ59" i="9" s="1"/>
  <c r="AI58" i="9"/>
  <c r="AH58" i="9"/>
  <c r="AG58" i="9"/>
  <c r="AF58" i="9"/>
  <c r="AF59" i="9" s="1"/>
  <c r="AE58" i="9"/>
  <c r="AE59" i="9" s="1"/>
  <c r="AD58" i="9"/>
  <c r="AC58" i="9"/>
  <c r="AC59" i="9" s="1"/>
  <c r="AB58" i="9"/>
  <c r="AA58" i="9"/>
  <c r="AA59" i="9" s="1"/>
  <c r="Z58" i="9"/>
  <c r="Y58" i="9"/>
  <c r="X58" i="9"/>
  <c r="W58" i="9"/>
  <c r="V58" i="9"/>
  <c r="U58" i="9"/>
  <c r="U59" i="9" s="1"/>
  <c r="T58" i="9"/>
  <c r="T59" i="9" s="1"/>
  <c r="S58" i="9"/>
  <c r="S59" i="9" s="1"/>
  <c r="R58" i="9"/>
  <c r="Q58" i="9"/>
  <c r="Q59" i="9" s="1"/>
  <c r="P58" i="9"/>
  <c r="O58" i="9"/>
  <c r="O59" i="9" s="1"/>
  <c r="N58" i="9"/>
  <c r="M58" i="9"/>
  <c r="L58" i="9"/>
  <c r="L59" i="9" s="1"/>
  <c r="K58" i="9"/>
  <c r="J58" i="9"/>
  <c r="I58" i="9"/>
  <c r="H58" i="9"/>
  <c r="H59" i="9" s="1"/>
  <c r="G58" i="9"/>
  <c r="F58" i="9"/>
  <c r="AI57" i="9"/>
  <c r="AG57" i="9"/>
  <c r="AF57" i="9"/>
  <c r="AD57" i="9"/>
  <c r="AA57" i="9"/>
  <c r="T57" i="9"/>
  <c r="S57" i="9"/>
  <c r="R57" i="9"/>
  <c r="P57" i="9"/>
  <c r="M57" i="9"/>
  <c r="K57" i="9"/>
  <c r="I57" i="9"/>
  <c r="H57" i="9"/>
  <c r="AJ56" i="9"/>
  <c r="AJ57" i="9" s="1"/>
  <c r="AI56" i="9"/>
  <c r="AH56" i="9"/>
  <c r="AH57" i="9" s="1"/>
  <c r="AG56" i="9"/>
  <c r="AF56" i="9"/>
  <c r="AE56" i="9"/>
  <c r="AE57" i="9" s="1"/>
  <c r="AD56" i="9"/>
  <c r="AC56" i="9"/>
  <c r="AC57" i="9" s="1"/>
  <c r="AB56" i="9"/>
  <c r="AA56" i="9"/>
  <c r="Z56" i="9"/>
  <c r="Z57" i="9" s="1"/>
  <c r="Y56" i="9"/>
  <c r="X56" i="9"/>
  <c r="X57" i="9" s="1"/>
  <c r="W56" i="9"/>
  <c r="W57" i="9" s="1"/>
  <c r="V56" i="9"/>
  <c r="V57" i="9" s="1"/>
  <c r="U56" i="9"/>
  <c r="T56" i="9"/>
  <c r="S56" i="9"/>
  <c r="R56" i="9"/>
  <c r="Q56" i="9"/>
  <c r="Q57" i="9" s="1"/>
  <c r="P56" i="9"/>
  <c r="O56" i="9"/>
  <c r="N56" i="9"/>
  <c r="M56" i="9"/>
  <c r="L56" i="9"/>
  <c r="L57" i="9" s="1"/>
  <c r="K56" i="9"/>
  <c r="J56" i="9"/>
  <c r="J57" i="9" s="1"/>
  <c r="I56" i="9"/>
  <c r="H56" i="9"/>
  <c r="G56" i="9"/>
  <c r="G57" i="9" s="1"/>
  <c r="F56" i="9"/>
  <c r="E56" i="9"/>
  <c r="E57" i="9" s="1"/>
  <c r="AJ55" i="9"/>
  <c r="AH55" i="9"/>
  <c r="AE55" i="9"/>
  <c r="X55" i="9"/>
  <c r="W55" i="9"/>
  <c r="V55" i="9"/>
  <c r="U55" i="9"/>
  <c r="L55" i="9"/>
  <c r="K55" i="9"/>
  <c r="J55" i="9"/>
  <c r="I55" i="9"/>
  <c r="G55" i="9"/>
  <c r="AJ54" i="9"/>
  <c r="AI54" i="9"/>
  <c r="AI55" i="9" s="1"/>
  <c r="AH54" i="9"/>
  <c r="AG54" i="9"/>
  <c r="AF54" i="9"/>
  <c r="AF55" i="9" s="1"/>
  <c r="AE54" i="9"/>
  <c r="AD54" i="9"/>
  <c r="AD55" i="9" s="1"/>
  <c r="AC54" i="9"/>
  <c r="AC55" i="9" s="1"/>
  <c r="AB54" i="9"/>
  <c r="AB55" i="9" s="1"/>
  <c r="AA54" i="9"/>
  <c r="AA55" i="9" s="1"/>
  <c r="Z54" i="9"/>
  <c r="Y54" i="9"/>
  <c r="Y55" i="9" s="1"/>
  <c r="X54" i="9"/>
  <c r="W54" i="9"/>
  <c r="V54" i="9"/>
  <c r="U54" i="9"/>
  <c r="T54" i="9"/>
  <c r="T55" i="9" s="1"/>
  <c r="S54" i="9"/>
  <c r="S55" i="9" s="1"/>
  <c r="R54" i="9"/>
  <c r="Q54" i="9"/>
  <c r="P54" i="9"/>
  <c r="P55" i="9" s="1"/>
  <c r="O54" i="9"/>
  <c r="O55" i="9" s="1"/>
  <c r="N54" i="9"/>
  <c r="M54" i="9"/>
  <c r="M55" i="9" s="1"/>
  <c r="L54" i="9"/>
  <c r="K54" i="9"/>
  <c r="J54" i="9"/>
  <c r="I54" i="9"/>
  <c r="H54" i="9"/>
  <c r="H55" i="9" s="1"/>
  <c r="G54" i="9"/>
  <c r="F54" i="9"/>
  <c r="F60" i="9" s="1"/>
  <c r="AI53" i="9"/>
  <c r="AF53" i="9"/>
  <c r="W53" i="9"/>
  <c r="U53" i="9"/>
  <c r="T53" i="9"/>
  <c r="R53" i="9"/>
  <c r="Q53" i="9"/>
  <c r="N53" i="9"/>
  <c r="H53" i="9"/>
  <c r="F53" i="9"/>
  <c r="AJ52" i="9"/>
  <c r="AI52" i="9"/>
  <c r="AH52" i="9"/>
  <c r="AG52" i="9"/>
  <c r="AG55" i="9" s="1"/>
  <c r="AF52" i="9"/>
  <c r="AE52" i="9"/>
  <c r="AD52" i="9"/>
  <c r="AD53" i="9" s="1"/>
  <c r="AC52" i="9"/>
  <c r="AB52" i="9"/>
  <c r="AB57" i="9" s="1"/>
  <c r="AA52" i="9"/>
  <c r="Z52" i="9"/>
  <c r="Z59" i="9" s="1"/>
  <c r="Y52" i="9"/>
  <c r="X52" i="9"/>
  <c r="W52" i="9"/>
  <c r="V52" i="9"/>
  <c r="U52" i="9"/>
  <c r="U57" i="9" s="1"/>
  <c r="T52" i="9"/>
  <c r="S52" i="9"/>
  <c r="R52" i="9"/>
  <c r="Q52" i="9"/>
  <c r="Q55" i="9" s="1"/>
  <c r="P52" i="9"/>
  <c r="P59" i="9" s="1"/>
  <c r="O52" i="9"/>
  <c r="N52" i="9"/>
  <c r="N59" i="9" s="1"/>
  <c r="M52" i="9"/>
  <c r="L52" i="9"/>
  <c r="K52" i="9"/>
  <c r="J52" i="9"/>
  <c r="I52" i="9"/>
  <c r="H52" i="9"/>
  <c r="G52" i="9"/>
  <c r="F52" i="9"/>
  <c r="F57" i="9" s="1"/>
  <c r="AJ51" i="9"/>
  <c r="AI51" i="9"/>
  <c r="AI87" i="9" s="1"/>
  <c r="AH51" i="9"/>
  <c r="AG51" i="9"/>
  <c r="AF51" i="9"/>
  <c r="AF60" i="9" s="1"/>
  <c r="AE51" i="9"/>
  <c r="AD51" i="9"/>
  <c r="AD87" i="9" s="1"/>
  <c r="AC51" i="9"/>
  <c r="AC87" i="9" s="1"/>
  <c r="AB51" i="9"/>
  <c r="AB53" i="9" s="1"/>
  <c r="AA51" i="9"/>
  <c r="Z51" i="9"/>
  <c r="Z60" i="9" s="1"/>
  <c r="Y51" i="9"/>
  <c r="Y53" i="9" s="1"/>
  <c r="X51" i="9"/>
  <c r="W51" i="9"/>
  <c r="W60" i="9" s="1"/>
  <c r="V51" i="9"/>
  <c r="U51" i="9"/>
  <c r="U87" i="9" s="1"/>
  <c r="T51" i="9"/>
  <c r="T60" i="9" s="1"/>
  <c r="S51" i="9"/>
  <c r="S53" i="9" s="1"/>
  <c r="R51" i="9"/>
  <c r="R87" i="9" s="1"/>
  <c r="Q51" i="9"/>
  <c r="Q87" i="9" s="1"/>
  <c r="P51" i="9"/>
  <c r="O51" i="9"/>
  <c r="N51" i="9"/>
  <c r="N87" i="9" s="1"/>
  <c r="M51" i="9"/>
  <c r="L51" i="9"/>
  <c r="K51" i="9"/>
  <c r="K53" i="9" s="1"/>
  <c r="J51" i="9"/>
  <c r="I51" i="9"/>
  <c r="H51" i="9"/>
  <c r="H60" i="9" s="1"/>
  <c r="G51" i="9"/>
  <c r="F51" i="9"/>
  <c r="F87" i="9" s="1"/>
  <c r="D51" i="9"/>
  <c r="D87" i="9" s="1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6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4" i="9"/>
  <c r="E45" i="9" s="1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E42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0" i="9"/>
  <c r="E47" i="9" s="1"/>
  <c r="D40" i="9"/>
  <c r="D42" i="9" s="1"/>
  <c r="C40" i="9"/>
  <c r="C41" i="9" s="1"/>
  <c r="E39" i="9"/>
  <c r="E41" i="9" s="1"/>
  <c r="C39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D36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E34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2" i="9"/>
  <c r="E33" i="9" s="1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E30" i="9"/>
  <c r="C30" i="9"/>
  <c r="C31" i="9" s="1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8" i="9"/>
  <c r="D28" i="9"/>
  <c r="D30" i="9" s="1"/>
  <c r="C28" i="9"/>
  <c r="E27" i="9"/>
  <c r="C27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E22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E20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E18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6" i="9"/>
  <c r="D16" i="9"/>
  <c r="D52" i="9" s="1"/>
  <c r="D64" i="9" s="1"/>
  <c r="D66" i="9" s="1"/>
  <c r="E15" i="9"/>
  <c r="E24" i="9" s="1"/>
  <c r="C15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D12" i="9"/>
  <c r="C12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0" i="9"/>
  <c r="E11" i="9" s="1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8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6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C5" i="9"/>
  <c r="E4" i="9"/>
  <c r="E52" i="9" s="1"/>
  <c r="D4" i="9"/>
  <c r="D6" i="9" s="1"/>
  <c r="C6" i="9" s="1"/>
  <c r="C7" i="9" s="1"/>
  <c r="C4" i="9"/>
  <c r="E3" i="9"/>
  <c r="H1" i="9"/>
  <c r="I1" i="9" s="1"/>
  <c r="J1" i="9" s="1"/>
  <c r="K1" i="9" s="1"/>
  <c r="L1" i="9" s="1"/>
  <c r="M1" i="9" s="1"/>
  <c r="N1" i="9" s="1"/>
  <c r="O1" i="9" s="1"/>
  <c r="P1" i="9" s="1"/>
  <c r="Q1" i="9" s="1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AC1" i="9" s="1"/>
  <c r="AD1" i="9" s="1"/>
  <c r="AE1" i="9" s="1"/>
  <c r="AF1" i="9" s="1"/>
  <c r="AG1" i="9" s="1"/>
  <c r="AH1" i="9" s="1"/>
  <c r="AI1" i="9" s="1"/>
  <c r="AJ1" i="9" s="1"/>
  <c r="G1" i="9"/>
  <c r="H85" i="2"/>
  <c r="G85" i="2"/>
  <c r="J84" i="2"/>
  <c r="I84" i="2"/>
  <c r="I85" i="2" s="1"/>
  <c r="H84" i="2"/>
  <c r="G84" i="2"/>
  <c r="L84" i="2" s="1"/>
  <c r="F84" i="2"/>
  <c r="F85" i="2" s="1"/>
  <c r="E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K84" i="2" s="1"/>
  <c r="K85" i="2" s="1"/>
  <c r="L2" i="2"/>
  <c r="K2" i="2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M66" i="2" l="1"/>
  <c r="N66" i="2" s="1"/>
  <c r="D69" i="9"/>
  <c r="D67" i="9"/>
  <c r="D73" i="9" s="1"/>
  <c r="M60" i="9"/>
  <c r="M87" i="9"/>
  <c r="M53" i="9"/>
  <c r="R55" i="9"/>
  <c r="R60" i="9"/>
  <c r="E58" i="9"/>
  <c r="E59" i="9" s="1"/>
  <c r="E54" i="9"/>
  <c r="E55" i="9" s="1"/>
  <c r="E12" i="9"/>
  <c r="U80" i="9"/>
  <c r="U78" i="9"/>
  <c r="U76" i="9"/>
  <c r="AG80" i="9"/>
  <c r="AG78" i="9"/>
  <c r="AG76" i="9"/>
  <c r="G76" i="9"/>
  <c r="G80" i="9"/>
  <c r="G78" i="9"/>
  <c r="V76" i="9"/>
  <c r="V80" i="9"/>
  <c r="V78" i="9"/>
  <c r="E80" i="9"/>
  <c r="Y87" i="9"/>
  <c r="E7" i="9"/>
  <c r="C16" i="9"/>
  <c r="C52" i="9" s="1"/>
  <c r="C64" i="9" s="1"/>
  <c r="C66" i="9" s="1"/>
  <c r="D18" i="9"/>
  <c r="C51" i="9"/>
  <c r="C36" i="9"/>
  <c r="C29" i="9"/>
  <c r="G87" i="9"/>
  <c r="G53" i="9"/>
  <c r="S87" i="9"/>
  <c r="S60" i="9"/>
  <c r="AE87" i="9"/>
  <c r="AE53" i="9"/>
  <c r="I78" i="9"/>
  <c r="I80" i="9"/>
  <c r="X76" i="9"/>
  <c r="X80" i="9"/>
  <c r="X78" i="9"/>
  <c r="AJ76" i="9"/>
  <c r="AJ80" i="9"/>
  <c r="E36" i="9"/>
  <c r="E29" i="9"/>
  <c r="P60" i="9"/>
  <c r="E78" i="9"/>
  <c r="D48" i="9"/>
  <c r="C42" i="9"/>
  <c r="E48" i="9"/>
  <c r="I53" i="9"/>
  <c r="K78" i="9"/>
  <c r="K76" i="9"/>
  <c r="Z80" i="9"/>
  <c r="Z78" i="9"/>
  <c r="Z76" i="9"/>
  <c r="E76" i="9"/>
  <c r="K80" i="9"/>
  <c r="E17" i="9"/>
  <c r="D53" i="9"/>
  <c r="Y60" i="9"/>
  <c r="AG53" i="9"/>
  <c r="N55" i="9"/>
  <c r="Z55" i="9"/>
  <c r="AB60" i="9"/>
  <c r="L53" i="9"/>
  <c r="L60" i="9"/>
  <c r="L87" i="9"/>
  <c r="X53" i="9"/>
  <c r="X60" i="9"/>
  <c r="AJ53" i="9"/>
  <c r="AJ87" i="9"/>
  <c r="AJ60" i="9"/>
  <c r="F55" i="9"/>
  <c r="Y57" i="9"/>
  <c r="AH80" i="9"/>
  <c r="Z53" i="9"/>
  <c r="O53" i="9"/>
  <c r="AA60" i="9"/>
  <c r="AA53" i="9"/>
  <c r="E51" i="9"/>
  <c r="P53" i="9"/>
  <c r="N57" i="9"/>
  <c r="AG59" i="9"/>
  <c r="O87" i="9"/>
  <c r="O57" i="9"/>
  <c r="P87" i="9"/>
  <c r="F59" i="9"/>
  <c r="R59" i="9"/>
  <c r="AD59" i="9"/>
  <c r="U60" i="9"/>
  <c r="AC53" i="9"/>
  <c r="L76" i="9"/>
  <c r="L80" i="9"/>
  <c r="E9" i="9"/>
  <c r="J60" i="9"/>
  <c r="J53" i="9"/>
  <c r="V60" i="9"/>
  <c r="V53" i="9"/>
  <c r="AH60" i="9"/>
  <c r="AH53" i="9"/>
  <c r="E66" i="9"/>
  <c r="V87" i="9"/>
  <c r="C43" i="9" l="1"/>
  <c r="C48" i="9"/>
  <c r="C87" i="9"/>
  <c r="C53" i="9"/>
  <c r="D24" i="9"/>
  <c r="C18" i="9"/>
  <c r="D54" i="9"/>
  <c r="C73" i="9"/>
  <c r="D74" i="9"/>
  <c r="C74" i="9" s="1"/>
  <c r="D77" i="9"/>
  <c r="C77" i="9" s="1"/>
  <c r="D79" i="9"/>
  <c r="C79" i="9" s="1"/>
  <c r="E87" i="9"/>
  <c r="E53" i="9"/>
  <c r="E60" i="9"/>
  <c r="C69" i="9"/>
  <c r="C67" i="9"/>
  <c r="C17" i="9"/>
  <c r="C19" i="9" l="1"/>
  <c r="C54" i="9"/>
  <c r="C24" i="9"/>
  <c r="D55" i="9"/>
  <c r="D60" i="9"/>
  <c r="C55" i="9" l="1"/>
  <c r="C60" i="9"/>
</calcChain>
</file>

<file path=xl/sharedStrings.xml><?xml version="1.0" encoding="utf-8"?>
<sst xmlns="http://schemas.openxmlformats.org/spreadsheetml/2006/main" count="595" uniqueCount="295">
  <si>
    <t>Компания</t>
  </si>
  <si>
    <t>№</t>
  </si>
  <si>
    <t>Ф.И.О.</t>
  </si>
  <si>
    <t>Контактный номер</t>
  </si>
  <si>
    <t>Дата Заказа</t>
  </si>
  <si>
    <t>Дата доставки</t>
  </si>
  <si>
    <t>ID</t>
  </si>
  <si>
    <t>Оператор (ПИН)</t>
  </si>
  <si>
    <t>Bo'lim</t>
  </si>
  <si>
    <t>Товар1</t>
  </si>
  <si>
    <t>кол-во1</t>
  </si>
  <si>
    <t>Товар2</t>
  </si>
  <si>
    <t>кол-во2</t>
  </si>
  <si>
    <t>Товар3</t>
  </si>
  <si>
    <t>кол-во3</t>
  </si>
  <si>
    <t>Сумма</t>
  </si>
  <si>
    <t>Регион</t>
  </si>
  <si>
    <t>Адрес</t>
  </si>
  <si>
    <t>статус</t>
  </si>
  <si>
    <t>Логистика</t>
  </si>
  <si>
    <t>Контакт</t>
  </si>
  <si>
    <t>Источник</t>
  </si>
  <si>
    <t>Шифодор корп</t>
  </si>
  <si>
    <t>Гулайым</t>
  </si>
  <si>
    <t>913865022 936803223</t>
  </si>
  <si>
    <t>0023</t>
  </si>
  <si>
    <t>Vagina Angusta</t>
  </si>
  <si>
    <t>Каракалпакстан</t>
  </si>
  <si>
    <t>Нукус shaxar,N Tulayev 36</t>
  </si>
  <si>
    <t>Успешно</t>
  </si>
  <si>
    <t xml:space="preserve">Караван </t>
  </si>
  <si>
    <t>база</t>
  </si>
  <si>
    <t>Feruza</t>
  </si>
  <si>
    <t>880700036, 959757413</t>
  </si>
  <si>
    <t>0021</t>
  </si>
  <si>
    <t>Кашкадаринская област</t>
  </si>
  <si>
    <t>Qarshi shahar ISLOM KARIMOV KO'CHA SOXIL OLDI 442 DO'M 26 UY</t>
  </si>
  <si>
    <t>первичный</t>
  </si>
  <si>
    <t>Akobir_target</t>
  </si>
  <si>
    <t>Umida</t>
  </si>
  <si>
    <t>0034</t>
  </si>
  <si>
    <t>Город Ташкент</t>
  </si>
  <si>
    <t>CHILONZOR 19 ARENTIR BELISSIMO</t>
  </si>
  <si>
    <t>Отказ</t>
  </si>
  <si>
    <t>Ayubxon</t>
  </si>
  <si>
    <t>Muxarram</t>
  </si>
  <si>
    <t>0018</t>
  </si>
  <si>
    <t>olmazor xastiiymon 28 maktab maxbara</t>
  </si>
  <si>
    <t>Saydullayeva Gulxayo</t>
  </si>
  <si>
    <t>88 1020228</t>
  </si>
  <si>
    <t>olmazor seti 51 daxa</t>
  </si>
  <si>
    <t>саодат</t>
  </si>
  <si>
    <t>Ташкентская область</t>
  </si>
  <si>
    <t>PISKENT TUMANI DUNGQURG`ON MFY</t>
  </si>
  <si>
    <t>Mahliyo</t>
  </si>
  <si>
    <t>Самаркандская область</t>
  </si>
  <si>
    <t>bulung`ur tumani</t>
  </si>
  <si>
    <t>Зуля раббимова</t>
  </si>
  <si>
    <t>0017</t>
  </si>
  <si>
    <t>САМАРКАНД Ш КАПТАРХОНА ОВАШНОЙ</t>
  </si>
  <si>
    <t>Surayyo Bozoriva</t>
  </si>
  <si>
    <t>0020</t>
  </si>
  <si>
    <t>CHILONZOR 19,AVTOWKOLA YONIDA,3 DOM</t>
  </si>
  <si>
    <t>dildor24.07.89</t>
  </si>
  <si>
    <t>Наманганская область</t>
  </si>
  <si>
    <t>UYCHI TUMANI BERUNI MAXALLA AMIR TEMUR KO'CHA 7 DOM 4 XONADON</t>
  </si>
  <si>
    <t>Зайнаб Каршибоева</t>
  </si>
  <si>
    <t>93 037 10 65</t>
  </si>
  <si>
    <t>0019</t>
  </si>
  <si>
    <t>Джизахская область</t>
  </si>
  <si>
    <t>Зарбдор тумани Равот махалласи Тиллакор кучаси</t>
  </si>
  <si>
    <t>guldora annaqulova</t>
  </si>
  <si>
    <t>507066684, 941865225</t>
  </si>
  <si>
    <t>0035</t>
  </si>
  <si>
    <t>kattaqorgon tumani melahoja mahallasi tong qorgon paselkasi</t>
  </si>
  <si>
    <t>Adolat Eshpulatova</t>
  </si>
  <si>
    <t>Наваинская область</t>
  </si>
  <si>
    <t>zarafshon shahar yangi zafar mahallasi 6 kvartal 44 uy</t>
  </si>
  <si>
    <t>Ro'za Axmedova</t>
  </si>
  <si>
    <t>Харезмская область</t>
  </si>
  <si>
    <t>Хазорасп тумани Карвак кишлоги Мироп туйхона енига</t>
  </si>
  <si>
    <t>Dildora</t>
  </si>
  <si>
    <t>0047</t>
  </si>
  <si>
    <t>Зомин тумани Боги шамол мах. Садаф кучаси 26 уй</t>
  </si>
  <si>
    <t>Zumratoy</t>
  </si>
  <si>
    <t>Ферганская область</t>
  </si>
  <si>
    <t>quvadan paxtakor mfy 105 uy</t>
  </si>
  <si>
    <t>sarvňoz</t>
  </si>
  <si>
    <t>urgut tumani ispanza mahallasi 11uy</t>
  </si>
  <si>
    <t>севара боймирзаева 2002 4 ногябрь</t>
  </si>
  <si>
    <t>93 456 66 04, 953605107</t>
  </si>
  <si>
    <t>кашкадарье чирокчи кукдаля этитом мах</t>
  </si>
  <si>
    <t>chirch MAYRAM</t>
  </si>
  <si>
    <t>chirchiq tumani</t>
  </si>
  <si>
    <t>0012</t>
  </si>
  <si>
    <t>0042</t>
  </si>
  <si>
    <t>0015</t>
  </si>
  <si>
    <t>0007</t>
  </si>
  <si>
    <t>0010</t>
  </si>
  <si>
    <t>0011</t>
  </si>
  <si>
    <t>0031</t>
  </si>
  <si>
    <t>0001</t>
  </si>
  <si>
    <t>0005</t>
  </si>
  <si>
    <t>0014</t>
  </si>
  <si>
    <t>0006</t>
  </si>
  <si>
    <t>0004</t>
  </si>
  <si>
    <t>0040</t>
  </si>
  <si>
    <t>0024</t>
  </si>
  <si>
    <t>0003</t>
  </si>
  <si>
    <t>0045</t>
  </si>
  <si>
    <t>0044</t>
  </si>
  <si>
    <t>0037</t>
  </si>
  <si>
    <t>0027</t>
  </si>
  <si>
    <t>0028</t>
  </si>
  <si>
    <t>0008</t>
  </si>
  <si>
    <t>0039</t>
  </si>
  <si>
    <t>0013</t>
  </si>
  <si>
    <t>0038</t>
  </si>
  <si>
    <t>0030</t>
  </si>
  <si>
    <t>0043</t>
  </si>
  <si>
    <t>0026</t>
  </si>
  <si>
    <t>0048</t>
  </si>
  <si>
    <t>0050</t>
  </si>
  <si>
    <t>0036</t>
  </si>
  <si>
    <t>0046</t>
  </si>
  <si>
    <t>0049</t>
  </si>
  <si>
    <t>0051</t>
  </si>
  <si>
    <t>0052</t>
  </si>
  <si>
    <t>Нилуфар</t>
  </si>
  <si>
    <t>0053</t>
  </si>
  <si>
    <t>0054</t>
  </si>
  <si>
    <t>0060</t>
  </si>
  <si>
    <t>0057</t>
  </si>
  <si>
    <t>0058</t>
  </si>
  <si>
    <t>0059</t>
  </si>
  <si>
    <t>0056</t>
  </si>
  <si>
    <t>0063</t>
  </si>
  <si>
    <t>0062</t>
  </si>
  <si>
    <t>0061</t>
  </si>
  <si>
    <t>0066</t>
  </si>
  <si>
    <t>0064</t>
  </si>
  <si>
    <t>0065</t>
  </si>
  <si>
    <t>0067</t>
  </si>
  <si>
    <t>0068</t>
  </si>
  <si>
    <t>0025</t>
  </si>
  <si>
    <t xml:space="preserve">XODIMLAR ISMLARI </t>
  </si>
  <si>
    <t xml:space="preserve">Bo'lim </t>
  </si>
  <si>
    <t>Umumiy zakaz summasi</t>
  </si>
  <si>
    <t>Первичный Заказ</t>
  </si>
  <si>
    <t>База</t>
  </si>
  <si>
    <t>Otkaz</t>
  </si>
  <si>
    <t>В процесс</t>
  </si>
  <si>
    <t>Upakovka soni</t>
  </si>
  <si>
    <t xml:space="preserve">OYLIK MOASH </t>
  </si>
  <si>
    <t>Konversiya</t>
  </si>
  <si>
    <t xml:space="preserve">ELBEK XAYDAROV              </t>
  </si>
  <si>
    <t>A</t>
  </si>
  <si>
    <t>0002</t>
  </si>
  <si>
    <t xml:space="preserve">SAMANDAR CHORIYEV         </t>
  </si>
  <si>
    <t xml:space="preserve">LAZIZBEK ABDURAXMONOV    </t>
  </si>
  <si>
    <t xml:space="preserve">INOMJON JO'RAQO'ZIYEV     </t>
  </si>
  <si>
    <t xml:space="preserve">SHAXNOZA XOLTURAEVA     </t>
  </si>
  <si>
    <t xml:space="preserve">USMONXO'JA QAYUMXO'JAEV     </t>
  </si>
  <si>
    <t xml:space="preserve">IRODA XAKIMOVA      </t>
  </si>
  <si>
    <t>B</t>
  </si>
  <si>
    <t xml:space="preserve">NOZIMA JAMOLIDDINOVA   </t>
  </si>
  <si>
    <t>Baza</t>
  </si>
  <si>
    <t>0009</t>
  </si>
  <si>
    <t xml:space="preserve">ROBIYA ABDULXAMIDOVA    </t>
  </si>
  <si>
    <t xml:space="preserve">SHAXRIYOR ZOKIRJONOV    </t>
  </si>
  <si>
    <t xml:space="preserve">DILSHODBEK AXMADOV    </t>
  </si>
  <si>
    <t xml:space="preserve">ASADBEK BOQIJONOV       </t>
  </si>
  <si>
    <t xml:space="preserve">MAHLIYO ABDURAIMOVA     </t>
  </si>
  <si>
    <t xml:space="preserve">AKIFA MUHAMMEDOVA   </t>
  </si>
  <si>
    <t xml:space="preserve">XUMOYUN KAMOLOV      </t>
  </si>
  <si>
    <t>0016</t>
  </si>
  <si>
    <t xml:space="preserve">FIRDAVS SULTONOV       </t>
  </si>
  <si>
    <t xml:space="preserve">ZAMIRA MELISOVNA      </t>
  </si>
  <si>
    <t xml:space="preserve">DILSHODA NORQUVONONA </t>
  </si>
  <si>
    <t>Gynocology</t>
  </si>
  <si>
    <t xml:space="preserve">NIGORA G'ULOMOVNA       </t>
  </si>
  <si>
    <t>LOBAR QO'LDOSHEVNA</t>
  </si>
  <si>
    <t>IRODA ABDULAZIZOVNA</t>
  </si>
  <si>
    <t>0022</t>
  </si>
  <si>
    <t xml:space="preserve">SHAXLO ASKARBEKOVNA </t>
  </si>
  <si>
    <t xml:space="preserve">NIGORA MAMATQULOVNA   </t>
  </si>
  <si>
    <t xml:space="preserve">SUHROB SHUHRATOVICH    </t>
  </si>
  <si>
    <t xml:space="preserve">ABDUVALIYEV SHERALI </t>
  </si>
  <si>
    <t xml:space="preserve">ZULAYXO KUSHEROVA    </t>
  </si>
  <si>
    <t xml:space="preserve">MAFTUNA RO'ZIYEVA    </t>
  </si>
  <si>
    <t xml:space="preserve">ISKANDAR FOTIXOV      </t>
  </si>
  <si>
    <t>0029</t>
  </si>
  <si>
    <t xml:space="preserve">ZIYODULLA SAGDULLAEV   </t>
  </si>
  <si>
    <t xml:space="preserve">NILUFAR ISAKOVA    </t>
  </si>
  <si>
    <t xml:space="preserve">FAYZULLO ODILOV   </t>
  </si>
  <si>
    <t>0032</t>
  </si>
  <si>
    <t xml:space="preserve">NIGORA TATIMBETOVA    </t>
  </si>
  <si>
    <t>0033</t>
  </si>
  <si>
    <t xml:space="preserve">AZIZA XUDAYNAZAROVA  </t>
  </si>
  <si>
    <t xml:space="preserve">SARVINOZ TOXIROVNA     </t>
  </si>
  <si>
    <t xml:space="preserve">FOTIMA NOSIRBAYEVNA     </t>
  </si>
  <si>
    <t xml:space="preserve">MAFTUNA ABDUKARIMOVA   </t>
  </si>
  <si>
    <t xml:space="preserve">JAZIRA KARIMBERDIYEVA   </t>
  </si>
  <si>
    <t xml:space="preserve">ASILBEK ODILJONOV    </t>
  </si>
  <si>
    <t xml:space="preserve">OYBEK ERGASHEV        </t>
  </si>
  <si>
    <t xml:space="preserve">GULXAYO RAYIMOVA       </t>
  </si>
  <si>
    <t>0041</t>
  </si>
  <si>
    <t xml:space="preserve">ODINA G'AYBULLAEVA      </t>
  </si>
  <si>
    <t xml:space="preserve">ABDULLO AXMEDOV      </t>
  </si>
  <si>
    <t xml:space="preserve">ZULFIZAR MIRZAAXMEDOVA      </t>
  </si>
  <si>
    <t xml:space="preserve">SAIDAKMAL SAIDAKBAROVICH     </t>
  </si>
  <si>
    <t xml:space="preserve">XUSAYIN IBROXIMOV     </t>
  </si>
  <si>
    <t xml:space="preserve">SHERINMOX ISMATULLAEVA    </t>
  </si>
  <si>
    <t xml:space="preserve">XILOLA TURG'UNOVNA    </t>
  </si>
  <si>
    <t xml:space="preserve">SAIDOV MUHAMMADUMAR    </t>
  </si>
  <si>
    <t xml:space="preserve">ARTIKOV JAHANGIR    </t>
  </si>
  <si>
    <t xml:space="preserve">DODORJONOVA MOXICHEXRA   </t>
  </si>
  <si>
    <t xml:space="preserve">IBROXIM UMARALIYEV     </t>
  </si>
  <si>
    <t xml:space="preserve">RAXIMOVA AZIZA          </t>
  </si>
  <si>
    <t xml:space="preserve">SAIDRAXIMOV SAIDG'ANI     </t>
  </si>
  <si>
    <t xml:space="preserve">ILYASOVA SEVINCH      </t>
  </si>
  <si>
    <t>0055</t>
  </si>
  <si>
    <t xml:space="preserve">SHOHJAHON OLIMOV     </t>
  </si>
  <si>
    <t>C</t>
  </si>
  <si>
    <t xml:space="preserve">ZIYODULLO ZOKIROV     </t>
  </si>
  <si>
    <t xml:space="preserve">JAVOXIR QOBILOV       </t>
  </si>
  <si>
    <t xml:space="preserve">MAFTUNA BERDIQULOV    </t>
  </si>
  <si>
    <t xml:space="preserve">ABDULLA TOXIROV    </t>
  </si>
  <si>
    <t xml:space="preserve">MADINA      </t>
  </si>
  <si>
    <t>BONU MURODOVA</t>
  </si>
  <si>
    <t xml:space="preserve">OLIM MO'MINOV </t>
  </si>
  <si>
    <t>SHOXRUX ABDULLAYEV</t>
  </si>
  <si>
    <t xml:space="preserve">ERMATOVA HILOLA </t>
  </si>
  <si>
    <t xml:space="preserve">TALATJONOV NURMUHAMMAD </t>
  </si>
  <si>
    <t>BABAYEV BAXTIYOR</t>
  </si>
  <si>
    <t>XOLDAROV AXROR</t>
  </si>
  <si>
    <t xml:space="preserve">TEMEROV ALIBEK </t>
  </si>
  <si>
    <t>0069</t>
  </si>
  <si>
    <t xml:space="preserve">RADJABOVA DILRABO </t>
  </si>
  <si>
    <t>BAZA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</si>
  <si>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</si>
  <si>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</si>
  <si>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</si>
  <si>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</si>
  <si>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</si>
  <si>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</si>
  <si>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</si>
  <si>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</si>
  <si>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</si>
  <si>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</si>
  <si>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</si>
  <si>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</si>
  <si>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</si>
  <si>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Масъул</t>
  </si>
  <si>
    <t>План Ойлик</t>
  </si>
  <si>
    <t>План кунлик</t>
  </si>
  <si>
    <t xml:space="preserve">Факт </t>
  </si>
  <si>
    <t>Бюджет</t>
  </si>
  <si>
    <t>Акобир</t>
  </si>
  <si>
    <t>Лидлар сони</t>
  </si>
  <si>
    <t>Лид нархи</t>
  </si>
  <si>
    <t>Квал лидлар сони</t>
  </si>
  <si>
    <t>Лид/Квал лид</t>
  </si>
  <si>
    <t>Недазвон</t>
  </si>
  <si>
    <t>Лид/Недазвон</t>
  </si>
  <si>
    <t>Сифатсиз</t>
  </si>
  <si>
    <t>Лиддан/Сифатсиз</t>
  </si>
  <si>
    <t>Квал лид нархи</t>
  </si>
  <si>
    <t>Таргет Акобир</t>
  </si>
  <si>
    <t>Таргет Аюбхон</t>
  </si>
  <si>
    <t>Жами Таргет</t>
  </si>
  <si>
    <t>Сall center</t>
  </si>
  <si>
    <t>Квал килинди</t>
  </si>
  <si>
    <t>Квал килинди/Лидлар сони</t>
  </si>
  <si>
    <t>Конверсия Лид/Сифатсиз</t>
  </si>
  <si>
    <t>Сотув булими</t>
  </si>
  <si>
    <t xml:space="preserve">Квал лид </t>
  </si>
  <si>
    <t>Заказ олинди</t>
  </si>
  <si>
    <t>Упаковка сони</t>
  </si>
  <si>
    <t>Квал лид/Заказ</t>
  </si>
  <si>
    <t>Думка Лид</t>
  </si>
  <si>
    <t>Думка/Квал Лид</t>
  </si>
  <si>
    <t>Недазвон ЛИД</t>
  </si>
  <si>
    <t>Недазвон/Квал килинди</t>
  </si>
  <si>
    <t>Отказ Упаковка Заказдан)</t>
  </si>
  <si>
    <t>Логистикада йулда)</t>
  </si>
  <si>
    <t>Успешна Упаковка</t>
  </si>
  <si>
    <t xml:space="preserve">1 та Упаковка таргет нархи </t>
  </si>
  <si>
    <t>Таргет Adbox</t>
  </si>
  <si>
    <t>Limpid Digital</t>
  </si>
  <si>
    <t>Таргетдан ЛИД</t>
  </si>
  <si>
    <t>Инстаграмдан ЛИД</t>
  </si>
  <si>
    <t>Жами Лид сони</t>
  </si>
  <si>
    <t>Конверсия/Успешно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</si>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</sst>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.mm\.yyyy"/>
    <numFmt numFmtId="171" formatCode="0.0%"/>
    <numFmt numFmtId="173" formatCode="dd&quot;-&quot;mmm"/>
    <numFmt numFmtId="174" formatCode="&quot;$&quot;#,##0"/>
    <numFmt numFmtId="175" formatCode="&quot;$&quot;#,##0.00"/>
    <numFmt numFmtId="176" formatCode="#,##0.0"/>
    <numFmt numFmtId="177" formatCode="_-[$$-409]* #,##0.0_ ;_-[$$-409]* \-#,##0.0\ ;_-[$$-409]* &quot;-&quot;_ ;_-@_ "/>
    <numFmt numFmtId="178" formatCode="_-[$$-409]* #,##0.0_ ;_-[$$-409]* \-#,##0.0\ ;_-[$$-409]* &quot;-&quot;?_ ;_-@_ "/>
  </numFmts>
  <fonts count="11" x14ac:knownFonts="1">
    <font>
      <sz val="10"/>
      <color rgb="FF000000"/>
      <name val="Arial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3"/>
      <color rgb="FF000000"/>
      <name val="Times New Roman"/>
    </font>
    <font>
      <sz val="10"/>
      <color theme="1"/>
      <name val="Arial"/>
    </font>
    <font>
      <b/>
      <sz val="11"/>
      <color theme="1"/>
      <name val="Times New Roman"/>
    </font>
    <font>
      <sz val="11"/>
      <color theme="1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92D050"/>
        <bgColor rgb="FF92D050"/>
      </patternFill>
    </fill>
    <fill>
      <patternFill patternType="solid">
        <fgColor rgb="FFA4C2F4"/>
        <bgColor rgb="FFA4C2F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2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0" fontId="1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3" fontId="1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4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10" fontId="4" fillId="8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/>
    <xf numFmtId="3" fontId="3" fillId="2" borderId="1" xfId="0" applyNumberFormat="1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10" fontId="3" fillId="2" borderId="0" xfId="0" applyNumberFormat="1" applyFont="1" applyFill="1" applyAlignment="1">
      <alignment horizontal="center"/>
    </xf>
    <xf numFmtId="0" fontId="3" fillId="2" borderId="0" xfId="0" applyFont="1" applyFill="1"/>
    <xf numFmtId="4" fontId="6" fillId="0" borderId="0" xfId="0" applyNumberFormat="1" applyFont="1" applyAlignment="1">
      <alignment horizontal="center"/>
    </xf>
    <xf numFmtId="0" fontId="3" fillId="2" borderId="0" xfId="0" applyFont="1" applyFill="1" applyAlignment="1"/>
    <xf numFmtId="10" fontId="3" fillId="2" borderId="0" xfId="0" applyNumberFormat="1" applyFont="1" applyFill="1"/>
    <xf numFmtId="0" fontId="3" fillId="2" borderId="1" xfId="0" applyFont="1" applyFill="1" applyBorder="1" applyAlignment="1"/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/>
    <xf numFmtId="3" fontId="3" fillId="2" borderId="0" xfId="0" applyNumberFormat="1" applyFont="1" applyFill="1" applyAlignment="1">
      <alignment horizontal="center"/>
    </xf>
    <xf numFmtId="3" fontId="7" fillId="9" borderId="1" xfId="0" applyNumberFormat="1" applyFont="1" applyFill="1" applyBorder="1" applyAlignment="1">
      <alignment horizontal="center"/>
    </xf>
    <xf numFmtId="4" fontId="4" fillId="2" borderId="0" xfId="0" applyNumberFormat="1" applyFont="1" applyFill="1" applyAlignment="1">
      <alignment horizontal="center"/>
    </xf>
    <xf numFmtId="10" fontId="3" fillId="2" borderId="0" xfId="0" applyNumberFormat="1" applyFont="1" applyFill="1" applyAlignment="1">
      <alignment horizontal="center"/>
    </xf>
    <xf numFmtId="10" fontId="3" fillId="2" borderId="0" xfId="0" applyNumberFormat="1" applyFont="1" applyFill="1" applyAlignment="1"/>
    <xf numFmtId="10" fontId="3" fillId="2" borderId="0" xfId="0" applyNumberFormat="1" applyFont="1" applyFill="1" applyAlignment="1">
      <alignment horizontal="center" vertical="center"/>
    </xf>
    <xf numFmtId="3" fontId="5" fillId="0" borderId="0" xfId="0" applyNumberFormat="1" applyFont="1"/>
    <xf numFmtId="3" fontId="3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49" fontId="3" fillId="2" borderId="0" xfId="0" applyNumberFormat="1" applyFont="1" applyFill="1"/>
    <xf numFmtId="0" fontId="8" fillId="2" borderId="0" xfId="0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wrapText="1"/>
    </xf>
    <xf numFmtId="3" fontId="9" fillId="2" borderId="0" xfId="0" applyNumberFormat="1" applyFont="1" applyFill="1" applyAlignment="1">
      <alignment horizontal="center" wrapText="1"/>
    </xf>
    <xf numFmtId="173" fontId="9" fillId="2" borderId="0" xfId="0" applyNumberFormat="1" applyFont="1" applyFill="1" applyAlignment="1">
      <alignment horizontal="center"/>
    </xf>
    <xf numFmtId="0" fontId="8" fillId="2" borderId="0" xfId="0" applyFont="1" applyFill="1" applyAlignment="1"/>
    <xf numFmtId="0" fontId="8" fillId="2" borderId="4" xfId="0" applyFont="1" applyFill="1" applyBorder="1" applyAlignment="1"/>
    <xf numFmtId="3" fontId="8" fillId="2" borderId="4" xfId="0" applyNumberFormat="1" applyFont="1" applyFill="1" applyBorder="1" applyAlignment="1"/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wrapText="1"/>
    </xf>
    <xf numFmtId="0" fontId="10" fillId="2" borderId="0" xfId="0" applyFont="1" applyFill="1" applyAlignment="1"/>
    <xf numFmtId="174" fontId="8" fillId="2" borderId="0" xfId="0" applyNumberFormat="1" applyFont="1" applyFill="1" applyAlignment="1"/>
    <xf numFmtId="175" fontId="9" fillId="2" borderId="0" xfId="0" applyNumberFormat="1" applyFont="1" applyFill="1" applyAlignment="1">
      <alignment horizontal="center"/>
    </xf>
    <xf numFmtId="175" fontId="8" fillId="2" borderId="0" xfId="0" applyNumberFormat="1" applyFont="1" applyFill="1" applyAlignment="1">
      <alignment horizontal="center"/>
    </xf>
    <xf numFmtId="175" fontId="8" fillId="2" borderId="6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wrapText="1"/>
    </xf>
    <xf numFmtId="49" fontId="9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6" xfId="0" applyFont="1" applyFill="1" applyBorder="1" applyAlignment="1">
      <alignment horizontal="center"/>
    </xf>
    <xf numFmtId="175" fontId="8" fillId="2" borderId="0" xfId="0" applyNumberFormat="1" applyFont="1" applyFill="1" applyAlignment="1"/>
    <xf numFmtId="175" fontId="10" fillId="2" borderId="0" xfId="0" applyNumberFormat="1" applyFont="1" applyFill="1" applyAlignment="1">
      <alignment horizontal="center"/>
    </xf>
    <xf numFmtId="175" fontId="10" fillId="2" borderId="6" xfId="0" applyNumberFormat="1" applyFont="1" applyFill="1" applyBorder="1" applyAlignment="1">
      <alignment horizontal="center"/>
    </xf>
    <xf numFmtId="0" fontId="9" fillId="10" borderId="2" xfId="0" applyFont="1" applyFill="1" applyBorder="1" applyAlignment="1">
      <alignment wrapText="1"/>
    </xf>
    <xf numFmtId="0" fontId="9" fillId="10" borderId="0" xfId="0" applyFont="1" applyFill="1" applyAlignment="1"/>
    <xf numFmtId="49" fontId="9" fillId="10" borderId="0" xfId="0" applyNumberFormat="1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8" fillId="10" borderId="6" xfId="0" applyFont="1" applyFill="1" applyBorder="1" applyAlignment="1">
      <alignment horizontal="center"/>
    </xf>
    <xf numFmtId="171" fontId="9" fillId="2" borderId="0" xfId="0" applyNumberFormat="1" applyFont="1" applyFill="1" applyAlignment="1">
      <alignment horizontal="center"/>
    </xf>
    <xf numFmtId="171" fontId="8" fillId="2" borderId="0" xfId="0" applyNumberFormat="1" applyFont="1" applyFill="1" applyAlignment="1"/>
    <xf numFmtId="10" fontId="9" fillId="2" borderId="0" xfId="0" applyNumberFormat="1" applyFont="1" applyFill="1" applyAlignment="1">
      <alignment horizontal="center"/>
    </xf>
    <xf numFmtId="10" fontId="10" fillId="2" borderId="0" xfId="0" applyNumberFormat="1" applyFont="1" applyFill="1" applyAlignment="1">
      <alignment horizontal="center"/>
    </xf>
    <xf numFmtId="10" fontId="10" fillId="2" borderId="6" xfId="0" applyNumberFormat="1" applyFont="1" applyFill="1" applyBorder="1" applyAlignment="1">
      <alignment horizontal="center"/>
    </xf>
    <xf numFmtId="0" fontId="10" fillId="11" borderId="2" xfId="0" applyFont="1" applyFill="1" applyBorder="1" applyAlignment="1">
      <alignment wrapText="1"/>
    </xf>
    <xf numFmtId="0" fontId="10" fillId="11" borderId="0" xfId="0" applyFont="1" applyFill="1" applyAlignment="1"/>
    <xf numFmtId="171" fontId="8" fillId="11" borderId="0" xfId="0" applyNumberFormat="1" applyFont="1" applyFill="1" applyAlignment="1"/>
    <xf numFmtId="0" fontId="8" fillId="11" borderId="0" xfId="0" applyFont="1" applyFill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wrapText="1"/>
    </xf>
    <xf numFmtId="0" fontId="10" fillId="2" borderId="8" xfId="0" applyFont="1" applyFill="1" applyBorder="1" applyAlignment="1"/>
    <xf numFmtId="175" fontId="9" fillId="2" borderId="8" xfId="0" applyNumberFormat="1" applyFont="1" applyFill="1" applyBorder="1" applyAlignment="1">
      <alignment horizontal="center"/>
    </xf>
    <xf numFmtId="3" fontId="8" fillId="2" borderId="0" xfId="0" applyNumberFormat="1" applyFont="1" applyFill="1" applyAlignment="1"/>
    <xf numFmtId="174" fontId="9" fillId="2" borderId="0" xfId="0" applyNumberFormat="1" applyFont="1" applyFill="1" applyAlignment="1">
      <alignment horizontal="center"/>
    </xf>
    <xf numFmtId="175" fontId="8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10" borderId="0" xfId="0" applyFont="1" applyFill="1" applyAlignment="1"/>
    <xf numFmtId="0" fontId="9" fillId="10" borderId="0" xfId="0" applyFont="1" applyFill="1" applyAlignment="1">
      <alignment horizontal="center"/>
    </xf>
    <xf numFmtId="3" fontId="9" fillId="10" borderId="0" xfId="0" applyNumberFormat="1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3" fontId="9" fillId="2" borderId="0" xfId="0" applyNumberFormat="1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9" fillId="2" borderId="8" xfId="0" applyFont="1" applyFill="1" applyBorder="1" applyAlignment="1"/>
    <xf numFmtId="0" fontId="9" fillId="2" borderId="3" xfId="0" applyFont="1" applyFill="1" applyBorder="1" applyAlignment="1">
      <alignment wrapText="1"/>
    </xf>
    <xf numFmtId="4" fontId="9" fillId="2" borderId="0" xfId="0" applyNumberFormat="1" applyFont="1" applyFill="1" applyAlignment="1">
      <alignment horizontal="center"/>
    </xf>
    <xf numFmtId="0" fontId="10" fillId="2" borderId="7" xfId="0" applyFont="1" applyFill="1" applyBorder="1" applyAlignment="1">
      <alignment wrapText="1"/>
    </xf>
    <xf numFmtId="175" fontId="10" fillId="2" borderId="8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11" borderId="0" xfId="0" applyFont="1" applyFill="1" applyAlignment="1">
      <alignment wrapText="1"/>
    </xf>
    <xf numFmtId="0" fontId="8" fillId="11" borderId="0" xfId="0" applyFont="1" applyFill="1" applyAlignment="1"/>
    <xf numFmtId="0" fontId="10" fillId="11" borderId="0" xfId="0" applyFont="1" applyFill="1" applyAlignment="1">
      <alignment horizontal="center" wrapText="1"/>
    </xf>
    <xf numFmtId="175" fontId="9" fillId="10" borderId="8" xfId="0" applyNumberFormat="1" applyFont="1" applyFill="1" applyBorder="1" applyAlignment="1">
      <alignment horizontal="center"/>
    </xf>
    <xf numFmtId="3" fontId="8" fillId="2" borderId="0" xfId="0" applyNumberFormat="1" applyFont="1" applyFill="1" applyAlignment="1">
      <alignment horizontal="center"/>
    </xf>
    <xf numFmtId="3" fontId="10" fillId="2" borderId="0" xfId="0" applyNumberFormat="1" applyFont="1" applyFill="1" applyAlignment="1">
      <alignment horizontal="center"/>
    </xf>
    <xf numFmtId="3" fontId="8" fillId="2" borderId="6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wrapText="1"/>
    </xf>
    <xf numFmtId="49" fontId="9" fillId="2" borderId="0" xfId="0" applyNumberFormat="1" applyFont="1" applyFill="1" applyAlignment="1">
      <alignment horizontal="center"/>
    </xf>
    <xf numFmtId="171" fontId="9" fillId="2" borderId="8" xfId="0" applyNumberFormat="1" applyFont="1" applyFill="1" applyBorder="1" applyAlignment="1">
      <alignment horizontal="center"/>
    </xf>
    <xf numFmtId="171" fontId="9" fillId="2" borderId="9" xfId="0" applyNumberFormat="1" applyFont="1" applyFill="1" applyBorder="1" applyAlignment="1">
      <alignment horizontal="center"/>
    </xf>
    <xf numFmtId="9" fontId="8" fillId="2" borderId="0" xfId="0" applyNumberFormat="1" applyFont="1" applyFill="1" applyAlignment="1"/>
    <xf numFmtId="171" fontId="8" fillId="2" borderId="0" xfId="0" applyNumberFormat="1" applyFont="1" applyFill="1" applyAlignment="1">
      <alignment horizontal="center"/>
    </xf>
    <xf numFmtId="0" fontId="8" fillId="2" borderId="5" xfId="0" applyFont="1" applyFill="1" applyBorder="1" applyAlignment="1"/>
    <xf numFmtId="176" fontId="9" fillId="2" borderId="6" xfId="0" applyNumberFormat="1" applyFont="1" applyFill="1" applyBorder="1" applyAlignment="1">
      <alignment horizontal="center"/>
    </xf>
    <xf numFmtId="0" fontId="9" fillId="12" borderId="2" xfId="0" applyFont="1" applyFill="1" applyBorder="1" applyAlignment="1">
      <alignment wrapText="1"/>
    </xf>
    <xf numFmtId="0" fontId="9" fillId="12" borderId="0" xfId="0" applyFont="1" applyFill="1" applyAlignment="1">
      <alignment horizontal="center"/>
    </xf>
    <xf numFmtId="176" fontId="9" fillId="12" borderId="6" xfId="0" applyNumberFormat="1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8" fillId="12" borderId="6" xfId="0" applyFont="1" applyFill="1" applyBorder="1" applyAlignment="1">
      <alignment horizontal="center"/>
    </xf>
    <xf numFmtId="171" fontId="9" fillId="2" borderId="6" xfId="0" applyNumberFormat="1" applyFont="1" applyFill="1" applyBorder="1" applyAlignment="1">
      <alignment horizontal="center"/>
    </xf>
    <xf numFmtId="9" fontId="9" fillId="2" borderId="0" xfId="0" applyNumberFormat="1" applyFont="1" applyFill="1" applyAlignment="1">
      <alignment horizontal="center"/>
    </xf>
    <xf numFmtId="9" fontId="9" fillId="2" borderId="6" xfId="0" applyNumberFormat="1" applyFont="1" applyFill="1" applyBorder="1" applyAlignment="1">
      <alignment horizontal="center"/>
    </xf>
    <xf numFmtId="171" fontId="10" fillId="2" borderId="0" xfId="0" applyNumberFormat="1" applyFont="1" applyFill="1" applyAlignment="1">
      <alignment horizontal="center"/>
    </xf>
    <xf numFmtId="171" fontId="10" fillId="2" borderId="6" xfId="0" applyNumberFormat="1" applyFont="1" applyFill="1" applyBorder="1" applyAlignment="1">
      <alignment horizontal="center"/>
    </xf>
    <xf numFmtId="171" fontId="10" fillId="2" borderId="8" xfId="0" applyNumberFormat="1" applyFont="1" applyFill="1" applyBorder="1" applyAlignment="1">
      <alignment horizontal="center"/>
    </xf>
    <xf numFmtId="171" fontId="10" fillId="2" borderId="9" xfId="0" applyNumberFormat="1" applyFont="1" applyFill="1" applyBorder="1" applyAlignment="1">
      <alignment horizontal="center"/>
    </xf>
    <xf numFmtId="0" fontId="8" fillId="4" borderId="4" xfId="0" applyFont="1" applyFill="1" applyBorder="1" applyAlignment="1"/>
    <xf numFmtId="0" fontId="9" fillId="4" borderId="4" xfId="0" applyFont="1" applyFill="1" applyBorder="1" applyAlignment="1">
      <alignment horizontal="center"/>
    </xf>
    <xf numFmtId="3" fontId="9" fillId="4" borderId="4" xfId="0" applyNumberFormat="1" applyFont="1" applyFill="1" applyBorder="1" applyAlignment="1">
      <alignment horizontal="center"/>
    </xf>
    <xf numFmtId="176" fontId="9" fillId="4" borderId="4" xfId="0" applyNumberFormat="1" applyFont="1" applyFill="1" applyBorder="1" applyAlignment="1">
      <alignment horizontal="center"/>
    </xf>
    <xf numFmtId="1" fontId="8" fillId="4" borderId="4" xfId="0" applyNumberFormat="1" applyFont="1" applyFill="1" applyBorder="1" applyAlignment="1">
      <alignment horizontal="center"/>
    </xf>
    <xf numFmtId="1" fontId="8" fillId="4" borderId="5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wrapText="1"/>
    </xf>
    <xf numFmtId="1" fontId="8" fillId="2" borderId="0" xfId="0" applyNumberFormat="1" applyFont="1" applyFill="1" applyAlignment="1">
      <alignment horizontal="center"/>
    </xf>
    <xf numFmtId="0" fontId="8" fillId="12" borderId="0" xfId="0" applyFont="1" applyFill="1" applyAlignment="1"/>
    <xf numFmtId="3" fontId="9" fillId="12" borderId="0" xfId="0" applyNumberFormat="1" applyFont="1" applyFill="1" applyAlignment="1">
      <alignment horizontal="center"/>
    </xf>
    <xf numFmtId="1" fontId="8" fillId="12" borderId="0" xfId="0" applyNumberFormat="1" applyFont="1" applyFill="1" applyAlignment="1">
      <alignment horizontal="center"/>
    </xf>
    <xf numFmtId="1" fontId="8" fillId="12" borderId="6" xfId="0" applyNumberFormat="1" applyFont="1" applyFill="1" applyBorder="1" applyAlignment="1">
      <alignment horizontal="center"/>
    </xf>
    <xf numFmtId="0" fontId="8" fillId="2" borderId="8" xfId="0" applyFont="1" applyFill="1" applyBorder="1" applyAlignment="1"/>
    <xf numFmtId="177" fontId="9" fillId="2" borderId="8" xfId="0" applyNumberFormat="1" applyFont="1" applyFill="1" applyBorder="1" applyAlignment="1">
      <alignment horizontal="center"/>
    </xf>
    <xf numFmtId="178" fontId="9" fillId="2" borderId="8" xfId="0" applyNumberFormat="1" applyFont="1" applyFill="1" applyBorder="1" applyAlignment="1">
      <alignment horizontal="center"/>
    </xf>
    <xf numFmtId="178" fontId="9" fillId="2" borderId="9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wrapText="1"/>
    </xf>
    <xf numFmtId="4" fontId="9" fillId="10" borderId="0" xfId="0" applyNumberFormat="1" applyFont="1" applyFill="1" applyAlignment="1">
      <alignment horizontal="center"/>
    </xf>
    <xf numFmtId="4" fontId="9" fillId="11" borderId="0" xfId="0" applyNumberFormat="1" applyFont="1" applyFill="1" applyAlignment="1">
      <alignment horizontal="center"/>
    </xf>
    <xf numFmtId="0" fontId="9" fillId="13" borderId="2" xfId="0" applyFont="1" applyFill="1" applyBorder="1" applyAlignment="1">
      <alignment horizontal="center" wrapText="1"/>
    </xf>
    <xf numFmtId="0" fontId="9" fillId="13" borderId="0" xfId="0" applyFont="1" applyFill="1" applyAlignment="1"/>
    <xf numFmtId="175" fontId="9" fillId="13" borderId="0" xfId="0" applyNumberFormat="1" applyFont="1" applyFill="1" applyAlignment="1">
      <alignment horizontal="center"/>
    </xf>
    <xf numFmtId="175" fontId="9" fillId="13" borderId="6" xfId="0" applyNumberFormat="1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11" borderId="6" xfId="0" applyFont="1" applyFill="1" applyBorder="1" applyAlignment="1">
      <alignment horizontal="center"/>
    </xf>
    <xf numFmtId="0" fontId="10" fillId="10" borderId="7" xfId="0" applyFont="1" applyFill="1" applyBorder="1" applyAlignment="1">
      <alignment wrapText="1"/>
    </xf>
    <xf numFmtId="0" fontId="10" fillId="10" borderId="8" xfId="0" applyFont="1" applyFill="1" applyBorder="1" applyAlignment="1"/>
    <xf numFmtId="175" fontId="10" fillId="10" borderId="8" xfId="0" applyNumberFormat="1" applyFont="1" applyFill="1" applyBorder="1" applyAlignment="1">
      <alignment horizontal="center"/>
    </xf>
    <xf numFmtId="175" fontId="10" fillId="10" borderId="9" xfId="0" applyNumberFormat="1" applyFont="1" applyFill="1" applyBorder="1" applyAlignment="1">
      <alignment horizontal="center"/>
    </xf>
    <xf numFmtId="3" fontId="8" fillId="2" borderId="0" xfId="0" applyNumberFormat="1" applyFont="1" applyFill="1" applyAlignment="1">
      <alignment horizontal="center"/>
    </xf>
    <xf numFmtId="3" fontId="10" fillId="2" borderId="6" xfId="0" applyNumberFormat="1" applyFont="1" applyFill="1" applyBorder="1" applyAlignment="1">
      <alignment horizontal="center"/>
    </xf>
    <xf numFmtId="0" fontId="9" fillId="10" borderId="0" xfId="0" applyFont="1" applyFill="1" applyAlignment="1">
      <alignment wrapText="1"/>
    </xf>
    <xf numFmtId="3" fontId="8" fillId="10" borderId="0" xfId="0" applyNumberFormat="1" applyFont="1" applyFill="1" applyAlignment="1">
      <alignment horizontal="center"/>
    </xf>
    <xf numFmtId="3" fontId="8" fillId="10" borderId="6" xfId="0" applyNumberFormat="1" applyFont="1" applyFill="1" applyBorder="1" applyAlignment="1">
      <alignment horizontal="center"/>
    </xf>
    <xf numFmtId="176" fontId="10" fillId="2" borderId="0" xfId="0" applyNumberFormat="1" applyFont="1" applyFill="1" applyAlignment="1">
      <alignment horizontal="center"/>
    </xf>
    <xf numFmtId="176" fontId="10" fillId="2" borderId="6" xfId="0" applyNumberFormat="1" applyFont="1" applyFill="1" applyBorder="1" applyAlignment="1">
      <alignment horizontal="center"/>
    </xf>
    <xf numFmtId="176" fontId="9" fillId="2" borderId="0" xfId="0" applyNumberFormat="1" applyFont="1" applyFill="1" applyAlignment="1">
      <alignment horizontal="center"/>
    </xf>
    <xf numFmtId="176" fontId="9" fillId="12" borderId="0" xfId="0" applyNumberFormat="1" applyFont="1" applyFill="1" applyAlignment="1">
      <alignment horizontal="center"/>
    </xf>
    <xf numFmtId="9" fontId="10" fillId="2" borderId="0" xfId="0" applyNumberFormat="1" applyFont="1" applyFill="1" applyAlignment="1">
      <alignment horizontal="center"/>
    </xf>
    <xf numFmtId="9" fontId="10" fillId="2" borderId="6" xfId="0" applyNumberFormat="1" applyFont="1" applyFill="1" applyBorder="1" applyAlignment="1">
      <alignment horizontal="center"/>
    </xf>
    <xf numFmtId="0" fontId="9" fillId="4" borderId="3" xfId="0" applyFont="1" applyFill="1" applyBorder="1" applyAlignment="1">
      <alignment wrapText="1"/>
    </xf>
  </cellXfs>
  <cellStyles count="1">
    <cellStyle name="Обычный" xfId="0" builtinId="0"/>
  </cellStyles>
  <dxfs count="19"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Saidov Temur" id="{33e5ad8f-c6b3-4a1e-9219-411c11745ec6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589" dT="2025-10-15T19:09:26.00" personId="{33e5ad8f-c6b3-4a1e-9219-411c11745ec6}" id="{cbc7c567-5949-46ed-ae7d-d9c0e8dfadf4}" done="0">
    <x18tc:text xml:space="preserve">790 dan 720 ga ob qolgan</x18tc:text>
  </x18tc:threadedComment>
  <x18tc:threadedComment ref="P597" dT="2025-10-15T19:08:57.00" personId="{33e5ad8f-c6b3-4a1e-9219-411c11745ec6}" id="{c1ea3662-2bdf-4f7f-a9b5-bbd5a26b29d3}" done="0">
    <x18tc:text xml:space="preserve">3 ta 210 000 ga chiqqan bu 1 ta 700 000 ga ob qolgan</x18tc:text>
  </x18tc:threadedComment>
  <x18tc:threadedComment ref="P635" dT="2025-10-15T19:08:00.00" personId="{33e5ad8f-c6b3-4a1e-9219-411c11745ec6}" id="{f0386350-bd07-4b1e-93f3-c8608b2fce49}" done="0">
    <x18tc:text xml:space="preserve">790 da 750 ga ob qolgan</x18tc:text>
  </x18tc:threadedComment>
  <x18tc:threadedComment ref="P629" dT="2025-10-15T19:07:32.00" personId="{33e5ad8f-c6b3-4a1e-9219-411c11745ec6}" id="{8e7b52a9-890a-485e-b269-fec61face809}" done="0">
    <x18tc:text xml:space="preserve">1 500 mlnga 2 ta chiqqan 1 ta 750 ga ob qolgan</x18tc:text>
  </x18tc:threadedComment>
  <x18tc:threadedComment ref="B1462" dT="2025-10-23T07:25:33.00" personId="{33e5ad8f-c6b3-4a1e-9219-411c11745ec6}" id="{a9a26464-ccb1-491d-9472-0f2d1a424c94}" done="0">
    <x18tc:text xml:space="preserve">23383  bilan bitta zakaz bu dubl</x18tc:text>
  </x18tc:threadedComment>
  <x18tc:threadedComment ref="P698" dT="2025-10-15T19:06:31.00" personId="{33e5ad8f-c6b3-4a1e-9219-411c11745ec6}" id="{6574f8b0-0771-45e6-9950-850ccc115d92}" done="0">
    <x18tc:text xml:space="preserve">790 bugan 500 ga ob qolibdi</x18tc:text>
  </x18tc:threadedComment>
  <x18tc:threadedComment ref="S649" dT="2025-10-16T13:39:33.00" personId="{33e5ad8f-c6b3-4a1e-9219-411c11745ec6}" id="{c51dd175-972c-4757-a94a-82833343f1d2}" done="0">
    <x18tc:text xml:space="preserve">BU ZAKAZ DUBL 22542 ZAKAZ NOMER BILAN 1300 000 GA OLIB QOLGAN QIZI ORQALI</x18tc:text>
  </x18tc:threadedComment>
  <x18tc:threadedComment ref="P406" dT="2025-10-15T19:10:22.00" personId="{33e5ad8f-c6b3-4a1e-9219-411c11745ec6}" id="{1b070488-fc13-46b6-85e6-53fefc542937}" done="0">
    <x18tc:text xml:space="preserve">790 dan 700 ga ob qolgan</x18tc:text>
  </x18tc:threadedComment>
  <x18tc:threadedComment ref="P704" dT="2025-10-15T19:05:18.00" personId="{33e5ad8f-c6b3-4a1e-9219-411c11745ec6}" id="{80bf1ed4-eeaa-4e80-adad-c0860c08b603}" done="0">
    <x18tc:text xml:space="preserve">700 edi 650 ga ob qolgan ekan</x18tc:text>
  </x18tc:threadedComment>
  <x18tc:threadedComment ref="P1233" dT="2025-11-10T11:58:23.00" personId="{33e5ad8f-c6b3-4a1e-9219-411c11745ec6}" id="{6780da88-f890-46ca-ac57-3b0d04bb4507}" done="0">
    <x18tc:text xml:space="preserve">bu zakaz 2 200 000 ga chiqqan va bu 2 tani vazvrat qildik</x18tc:text>
  </x18tc:threadedComment>
  <x18tc:threadedComment ref="S976" dT="2025-10-16T09:44:32.00" personId="{33e5ad8f-c6b3-4a1e-9219-411c11745ec6}" id="{be660b5b-2a25-4ece-97e9-4ca728360cfe}" done="0">
    <x18tc:text xml:space="preserve">BU ZAKAZ 22778 ZAKAZ NOMERI BN O'G'LI OB QOLGAN 13 KUNI</x18tc:text>
  </x18tc:threadedComment>
  <x18tc:threadedComment ref="P560" dT="2025-10-15T19:09:55.00" personId="{33e5ad8f-c6b3-4a1e-9219-411c11745ec6}" id="{7d723cc2-b4f5-4586-b9c3-7458d987abb1}" done="0">
    <x18tc:text xml:space="preserve">1400 dan 1200 ga ob qolgan</x18tc:text>
  </x18tc:threadedComment>
  <x18tc:threadedComment ref="P732" dT="2025-10-15T19:04:42.00" personId="{33e5ad8f-c6b3-4a1e-9219-411c11745ec6}" id="{ce903695-f32b-40a3-bddc-92b02eba723d}" done="1">
    <x18tc:text xml:space="preserve">500 edi 400 ga ob qolibdi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426"/>
  <sheetViews>
    <sheetView workbookViewId="0">
      <pane ySplit="1" topLeftCell="A2" activePane="bottomLeft" state="frozen"/>
      <selection pane="bottomLeft" activeCell="C9" sqref="C9"/>
    </sheetView>
  </sheetViews>
  <sheetFormatPr defaultColWidth="12.6640625" defaultRowHeight="15.85" customHeight="1" x14ac:dyDescent="0.2"/>
  <cols>
    <col min="1" max="1" width="15.88671875" customWidth="1"/>
    <col min="2" max="2" width="8.21875" customWidth="1"/>
    <col min="3" max="3" width="20.77734375" customWidth="1"/>
    <col min="4" max="4" width="30.88671875" customWidth="1"/>
    <col min="5" max="5" width="14.33203125" customWidth="1"/>
    <col min="6" max="6" width="11.88671875" customWidth="1"/>
    <col min="7" max="7" width="8.44140625" customWidth="1"/>
    <col min="8" max="8" width="27.21875" customWidth="1"/>
    <col min="9" max="9" width="11.109375" customWidth="1"/>
    <col min="10" max="10" width="14.109375" customWidth="1"/>
    <col min="11" max="11" width="6.33203125" customWidth="1"/>
    <col min="12" max="15" width="2.21875" customWidth="1"/>
    <col min="16" max="16" width="10.77734375" customWidth="1"/>
    <col min="17" max="17" width="27.33203125" customWidth="1"/>
    <col min="18" max="18" width="55.109375" customWidth="1"/>
    <col min="19" max="19" width="12.109375" customWidth="1"/>
    <col min="20" max="20" width="16.33203125" customWidth="1"/>
    <col min="21" max="21" width="14.6640625" customWidth="1"/>
    <col min="22" max="22" width="17.44140625" customWidth="1"/>
    <col min="23" max="23" width="11.33203125" customWidth="1"/>
    <col min="24" max="24" width="23.21875" customWidth="1"/>
    <col min="25" max="25" width="24.77734375" customWidth="1"/>
  </cols>
  <sheetData>
    <row r="1" spans="1:31" ht="20.2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7" t="s">
        <v>8</v>
      </c>
      <c r="J1" s="4" t="s">
        <v>9</v>
      </c>
      <c r="K1" s="8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9" t="s">
        <v>15</v>
      </c>
      <c r="Q1" s="4" t="s">
        <v>16</v>
      </c>
      <c r="R1" s="10" t="s">
        <v>17</v>
      </c>
      <c r="S1" s="11" t="s">
        <v>18</v>
      </c>
      <c r="T1" s="4" t="s">
        <v>19</v>
      </c>
      <c r="U1" s="4" t="s">
        <v>20</v>
      </c>
      <c r="V1" s="4" t="s">
        <v>21</v>
      </c>
      <c r="W1" s="12"/>
      <c r="X1" s="4"/>
      <c r="Y1" s="13"/>
      <c r="Z1" s="13"/>
      <c r="AA1" s="13"/>
      <c r="AB1" s="13"/>
      <c r="AC1" s="13"/>
      <c r="AD1" s="13"/>
      <c r="AE1" s="13"/>
    </row>
    <row r="2" spans="1:31" ht="20.2" customHeight="1" x14ac:dyDescent="0.3">
      <c r="A2" s="14" t="s">
        <v>22</v>
      </c>
      <c r="B2" s="15">
        <v>21882</v>
      </c>
      <c r="C2" s="16" t="s">
        <v>23</v>
      </c>
      <c r="D2" s="16" t="s">
        <v>24</v>
      </c>
      <c r="E2" s="17">
        <v>45931</v>
      </c>
      <c r="F2" s="17"/>
      <c r="G2" s="18" t="s">
        <v>25</v>
      </c>
      <c r="H2" s="18" t="str">
        <f>IFERROR(VLOOKUP(G2,List2!$B$2:$C$100,2,FALSE), "Kerkali xodim topilmadi")</f>
        <v xml:space="preserve">NIGORA MAMATQULOVNA   </v>
      </c>
      <c r="I2" s="7" t="str">
        <f>IFERROR(VLOOKUP(G2,List2!$B$2:$D$100,3,FALSE), "Kerkali BO'LIM topilmadi")</f>
        <v>Baza</v>
      </c>
      <c r="J2" s="19" t="s">
        <v>26</v>
      </c>
      <c r="K2" s="20">
        <v>3</v>
      </c>
      <c r="L2" s="21"/>
      <c r="M2" s="21"/>
      <c r="N2" s="21"/>
      <c r="O2" s="21"/>
      <c r="P2" s="9">
        <v>900000</v>
      </c>
      <c r="Q2" s="16" t="s">
        <v>27</v>
      </c>
      <c r="R2" s="16" t="s">
        <v>28</v>
      </c>
      <c r="S2" s="22" t="s">
        <v>29</v>
      </c>
      <c r="T2" s="22" t="s">
        <v>30</v>
      </c>
      <c r="U2" s="22" t="s">
        <v>31</v>
      </c>
      <c r="V2" s="1"/>
      <c r="W2" s="23"/>
      <c r="X2" s="24"/>
      <c r="Y2" s="24"/>
      <c r="Z2" s="24"/>
      <c r="AA2" s="24"/>
      <c r="AB2" s="24"/>
      <c r="AC2" s="24"/>
      <c r="AD2" s="24"/>
      <c r="AE2" s="24"/>
    </row>
    <row r="3" spans="1:31" ht="20.2" customHeight="1" x14ac:dyDescent="0.3">
      <c r="A3" s="14" t="s">
        <v>22</v>
      </c>
      <c r="B3" s="15">
        <v>21883</v>
      </c>
      <c r="C3" s="16" t="s">
        <v>32</v>
      </c>
      <c r="D3" s="16" t="s">
        <v>33</v>
      </c>
      <c r="E3" s="17">
        <v>45931</v>
      </c>
      <c r="F3" s="17"/>
      <c r="G3" s="25" t="s">
        <v>34</v>
      </c>
      <c r="H3" s="18" t="str">
        <f>IFERROR(VLOOKUP(G3,List2!$B$2:$C$100,2,FALSE), "Kerkali xodim topilmadi")</f>
        <v>IRODA ABDULAZIZOVNA</v>
      </c>
      <c r="I3" s="7" t="str">
        <f>IFERROR(VLOOKUP(G3,List2!$B$2:$D$100,3,FALSE), "Kerkali BO'LIM topilmadi")</f>
        <v>Gynocology</v>
      </c>
      <c r="J3" s="19" t="s">
        <v>26</v>
      </c>
      <c r="K3" s="20">
        <v>4</v>
      </c>
      <c r="L3" s="21"/>
      <c r="M3" s="21"/>
      <c r="N3" s="21"/>
      <c r="O3" s="21"/>
      <c r="P3" s="9">
        <v>1050000</v>
      </c>
      <c r="Q3" s="16" t="s">
        <v>35</v>
      </c>
      <c r="R3" s="16" t="s">
        <v>36</v>
      </c>
      <c r="S3" s="22" t="s">
        <v>29</v>
      </c>
      <c r="T3" s="22" t="s">
        <v>30</v>
      </c>
      <c r="U3" s="22" t="s">
        <v>37</v>
      </c>
      <c r="V3" s="1" t="s">
        <v>38</v>
      </c>
      <c r="W3" s="26"/>
      <c r="X3" s="24"/>
      <c r="Y3" s="24"/>
      <c r="Z3" s="24"/>
      <c r="AA3" s="24"/>
      <c r="AB3" s="24"/>
      <c r="AC3" s="24"/>
      <c r="AD3" s="24"/>
      <c r="AE3" s="24"/>
    </row>
    <row r="4" spans="1:31" ht="20.2" customHeight="1" x14ac:dyDescent="0.3">
      <c r="A4" s="14" t="s">
        <v>22</v>
      </c>
      <c r="B4" s="15">
        <v>21884</v>
      </c>
      <c r="C4" s="16" t="s">
        <v>39</v>
      </c>
      <c r="D4" s="16">
        <v>507118188</v>
      </c>
      <c r="E4" s="17">
        <v>45931</v>
      </c>
      <c r="F4" s="17"/>
      <c r="G4" s="25" t="s">
        <v>40</v>
      </c>
      <c r="H4" s="18" t="str">
        <f>IFERROR(VLOOKUP(G4,List2!$B$2:$C$100,2,FALSE), "Kerkali xodim topilmadi")</f>
        <v xml:space="preserve">SARVINOZ TOXIROVNA     </v>
      </c>
      <c r="I4" s="7" t="str">
        <f>IFERROR(VLOOKUP(G4,List2!$B$2:$D$100,3,FALSE), "Kerkali BO'LIM topilmadi")</f>
        <v>A</v>
      </c>
      <c r="J4" s="19" t="s">
        <v>26</v>
      </c>
      <c r="K4" s="20">
        <v>2</v>
      </c>
      <c r="L4" s="21"/>
      <c r="M4" s="21"/>
      <c r="N4" s="21"/>
      <c r="O4" s="21"/>
      <c r="P4" s="9">
        <v>700000</v>
      </c>
      <c r="Q4" s="16" t="s">
        <v>41</v>
      </c>
      <c r="R4" s="16" t="s">
        <v>42</v>
      </c>
      <c r="S4" s="22" t="s">
        <v>43</v>
      </c>
      <c r="T4" s="22" t="s">
        <v>30</v>
      </c>
      <c r="U4" s="22" t="s">
        <v>37</v>
      </c>
      <c r="V4" s="1" t="s">
        <v>44</v>
      </c>
      <c r="W4" s="26"/>
      <c r="X4" s="24"/>
      <c r="Y4" s="24"/>
      <c r="Z4" s="24"/>
      <c r="AA4" s="24"/>
      <c r="AB4" s="24"/>
      <c r="AC4" s="24"/>
      <c r="AD4" s="24"/>
      <c r="AE4" s="24"/>
    </row>
    <row r="5" spans="1:31" ht="20.2" customHeight="1" x14ac:dyDescent="0.3">
      <c r="A5" s="14" t="s">
        <v>22</v>
      </c>
      <c r="B5" s="15">
        <v>21885</v>
      </c>
      <c r="C5" s="16" t="s">
        <v>45</v>
      </c>
      <c r="D5" s="16">
        <v>938603336</v>
      </c>
      <c r="E5" s="17">
        <v>45931</v>
      </c>
      <c r="F5" s="17"/>
      <c r="G5" s="25" t="s">
        <v>46</v>
      </c>
      <c r="H5" s="18" t="str">
        <f>IFERROR(VLOOKUP(G5,List2!$B$2:$C$100,2,FALSE), "Kerkali xodim topilmadi")</f>
        <v xml:space="preserve">DILSHODA NORQUVONONA </v>
      </c>
      <c r="I5" s="7" t="str">
        <f>IFERROR(VLOOKUP(G5,List2!$B$2:$D$100,3,FALSE), "Kerkali BO'LIM topilmadi")</f>
        <v>Gynocology</v>
      </c>
      <c r="J5" s="19" t="s">
        <v>26</v>
      </c>
      <c r="K5" s="20">
        <v>5</v>
      </c>
      <c r="L5" s="21"/>
      <c r="M5" s="21"/>
      <c r="N5" s="21"/>
      <c r="O5" s="21"/>
      <c r="P5" s="9">
        <v>1200000</v>
      </c>
      <c r="Q5" s="16" t="s">
        <v>41</v>
      </c>
      <c r="R5" s="16" t="s">
        <v>47</v>
      </c>
      <c r="S5" s="22" t="s">
        <v>29</v>
      </c>
      <c r="T5" s="22" t="s">
        <v>30</v>
      </c>
      <c r="U5" s="22" t="s">
        <v>37</v>
      </c>
      <c r="V5" s="1"/>
      <c r="W5" s="23"/>
      <c r="X5" s="24"/>
      <c r="Y5" s="24"/>
      <c r="Z5" s="24"/>
      <c r="AA5" s="24"/>
      <c r="AB5" s="24"/>
      <c r="AC5" s="24"/>
      <c r="AD5" s="24"/>
      <c r="AE5" s="24"/>
    </row>
    <row r="6" spans="1:31" ht="20.2" customHeight="1" x14ac:dyDescent="0.3">
      <c r="A6" s="14" t="s">
        <v>22</v>
      </c>
      <c r="B6" s="15">
        <v>21886</v>
      </c>
      <c r="C6" s="16" t="s">
        <v>48</v>
      </c>
      <c r="D6" s="16" t="s">
        <v>49</v>
      </c>
      <c r="E6" s="17">
        <v>45931</v>
      </c>
      <c r="F6" s="17"/>
      <c r="G6" s="25" t="s">
        <v>46</v>
      </c>
      <c r="H6" s="18" t="str">
        <f>IFERROR(VLOOKUP(G6,List2!$B$2:$C$100,2,FALSE), "Kerkali xodim topilmadi")</f>
        <v xml:space="preserve">DILSHODA NORQUVONONA </v>
      </c>
      <c r="I6" s="7" t="str">
        <f>IFERROR(VLOOKUP(G6,List2!$B$2:$D$100,3,FALSE), "Kerkali BO'LIM topilmadi")</f>
        <v>Gynocology</v>
      </c>
      <c r="J6" s="19" t="s">
        <v>26</v>
      </c>
      <c r="K6" s="20">
        <v>4</v>
      </c>
      <c r="L6" s="21"/>
      <c r="M6" s="21"/>
      <c r="N6" s="21"/>
      <c r="O6" s="21"/>
      <c r="P6" s="9">
        <v>1050000</v>
      </c>
      <c r="Q6" s="16" t="s">
        <v>41</v>
      </c>
      <c r="R6" s="16" t="s">
        <v>50</v>
      </c>
      <c r="S6" s="22" t="s">
        <v>43</v>
      </c>
      <c r="T6" s="22" t="s">
        <v>30</v>
      </c>
      <c r="U6" s="22" t="s">
        <v>37</v>
      </c>
      <c r="V6" s="1" t="s">
        <v>44</v>
      </c>
      <c r="W6" s="26"/>
      <c r="X6" s="24"/>
      <c r="Y6" s="24"/>
      <c r="Z6" s="24"/>
      <c r="AA6" s="24"/>
      <c r="AB6" s="24"/>
      <c r="AC6" s="24"/>
      <c r="AD6" s="24"/>
      <c r="AE6" s="24"/>
    </row>
    <row r="7" spans="1:31" ht="20.2" customHeight="1" x14ac:dyDescent="0.3">
      <c r="A7" s="14" t="s">
        <v>22</v>
      </c>
      <c r="B7" s="15">
        <v>21887</v>
      </c>
      <c r="C7" s="16" t="s">
        <v>51</v>
      </c>
      <c r="D7" s="16">
        <v>944039204</v>
      </c>
      <c r="E7" s="17">
        <v>45931</v>
      </c>
      <c r="F7" s="17"/>
      <c r="G7" s="25" t="s">
        <v>46</v>
      </c>
      <c r="H7" s="18" t="str">
        <f>IFERROR(VLOOKUP(G7,List2!$B$2:$C$100,2,FALSE), "Kerkali xodim topilmadi")</f>
        <v xml:space="preserve">DILSHODA NORQUVONONA </v>
      </c>
      <c r="I7" s="7" t="str">
        <f>IFERROR(VLOOKUP(G7,List2!$B$2:$D$100,3,FALSE), "Kerkali BO'LIM topilmadi")</f>
        <v>Gynocology</v>
      </c>
      <c r="J7" s="19" t="s">
        <v>26</v>
      </c>
      <c r="K7" s="20">
        <v>5</v>
      </c>
      <c r="L7" s="21"/>
      <c r="M7" s="21"/>
      <c r="N7" s="21"/>
      <c r="O7" s="21"/>
      <c r="P7" s="9">
        <v>1200000</v>
      </c>
      <c r="Q7" s="16" t="s">
        <v>52</v>
      </c>
      <c r="R7" s="16" t="s">
        <v>53</v>
      </c>
      <c r="S7" s="22" t="s">
        <v>29</v>
      </c>
      <c r="T7" s="22" t="s">
        <v>30</v>
      </c>
      <c r="U7" s="22" t="s">
        <v>37</v>
      </c>
      <c r="V7" s="1" t="s">
        <v>38</v>
      </c>
      <c r="W7" s="26"/>
      <c r="X7" s="24"/>
      <c r="Y7" s="24"/>
      <c r="Z7" s="24"/>
      <c r="AA7" s="24"/>
      <c r="AB7" s="24"/>
      <c r="AC7" s="24"/>
      <c r="AD7" s="24"/>
      <c r="AE7" s="24"/>
    </row>
    <row r="8" spans="1:31" ht="20.2" customHeight="1" x14ac:dyDescent="0.3">
      <c r="A8" s="14" t="s">
        <v>22</v>
      </c>
      <c r="B8" s="15">
        <v>21888</v>
      </c>
      <c r="C8" s="16" t="s">
        <v>54</v>
      </c>
      <c r="D8" s="16">
        <v>930911603</v>
      </c>
      <c r="E8" s="17">
        <v>45931</v>
      </c>
      <c r="F8" s="17"/>
      <c r="G8" s="25" t="s">
        <v>46</v>
      </c>
      <c r="H8" s="18" t="str">
        <f>IFERROR(VLOOKUP(G8,List2!$B$2:$C$100,2,FALSE), "Kerkali xodim topilmadi")</f>
        <v xml:space="preserve">DILSHODA NORQUVONONA </v>
      </c>
      <c r="I8" s="7" t="str">
        <f>IFERROR(VLOOKUP(G8,List2!$B$2:$D$100,3,FALSE), "Kerkali BO'LIM topilmadi")</f>
        <v>Gynocology</v>
      </c>
      <c r="J8" s="19" t="s">
        <v>26</v>
      </c>
      <c r="K8" s="20">
        <v>4</v>
      </c>
      <c r="L8" s="21"/>
      <c r="M8" s="21"/>
      <c r="N8" s="21"/>
      <c r="O8" s="21"/>
      <c r="P8" s="9">
        <v>1050000</v>
      </c>
      <c r="Q8" s="16" t="s">
        <v>55</v>
      </c>
      <c r="R8" s="16" t="s">
        <v>56</v>
      </c>
      <c r="S8" s="22" t="s">
        <v>43</v>
      </c>
      <c r="T8" s="22" t="s">
        <v>30</v>
      </c>
      <c r="U8" s="22" t="s">
        <v>37</v>
      </c>
      <c r="V8" s="1" t="s">
        <v>38</v>
      </c>
      <c r="W8" s="26"/>
      <c r="X8" s="24"/>
      <c r="Y8" s="24"/>
      <c r="Z8" s="24"/>
      <c r="AA8" s="24"/>
      <c r="AB8" s="24"/>
      <c r="AC8" s="24"/>
      <c r="AD8" s="24"/>
      <c r="AE8" s="24"/>
    </row>
    <row r="9" spans="1:31" ht="20.2" customHeight="1" x14ac:dyDescent="0.3">
      <c r="A9" s="14" t="s">
        <v>22</v>
      </c>
      <c r="B9" s="15">
        <v>21889</v>
      </c>
      <c r="C9" s="27" t="s">
        <v>57</v>
      </c>
      <c r="D9" s="16">
        <v>917020730</v>
      </c>
      <c r="E9" s="17">
        <v>45931</v>
      </c>
      <c r="F9" s="17"/>
      <c r="G9" s="25" t="s">
        <v>58</v>
      </c>
      <c r="H9" s="18" t="str">
        <f>IFERROR(VLOOKUP(G9,List2!$B$2:$C$100,2,FALSE), "Kerkali xodim topilmadi")</f>
        <v xml:space="preserve">ZAMIRA MELISOVNA      </v>
      </c>
      <c r="I9" s="7" t="str">
        <f>IFERROR(VLOOKUP(G9,List2!$B$2:$D$100,3,FALSE), "Kerkali BO'LIM topilmadi")</f>
        <v>Baza</v>
      </c>
      <c r="J9" s="19" t="s">
        <v>26</v>
      </c>
      <c r="K9" s="20">
        <v>4</v>
      </c>
      <c r="L9" s="21"/>
      <c r="M9" s="21"/>
      <c r="N9" s="21"/>
      <c r="O9" s="21"/>
      <c r="P9" s="9">
        <v>1100000</v>
      </c>
      <c r="Q9" s="16" t="s">
        <v>55</v>
      </c>
      <c r="R9" s="16" t="s">
        <v>59</v>
      </c>
      <c r="S9" s="22" t="s">
        <v>29</v>
      </c>
      <c r="T9" s="22" t="s">
        <v>30</v>
      </c>
      <c r="U9" s="22" t="s">
        <v>37</v>
      </c>
      <c r="V9" s="1" t="s">
        <v>38</v>
      </c>
      <c r="W9" s="26"/>
      <c r="X9" s="24"/>
      <c r="Y9" s="24"/>
      <c r="Z9" s="24"/>
      <c r="AA9" s="24"/>
      <c r="AB9" s="24"/>
      <c r="AC9" s="24"/>
      <c r="AD9" s="24"/>
      <c r="AE9" s="24"/>
    </row>
    <row r="10" spans="1:31" ht="20.2" customHeight="1" x14ac:dyDescent="0.3">
      <c r="A10" s="14" t="s">
        <v>22</v>
      </c>
      <c r="B10" s="15">
        <v>21890</v>
      </c>
      <c r="C10" s="16" t="s">
        <v>60</v>
      </c>
      <c r="D10" s="16">
        <v>950549594</v>
      </c>
      <c r="E10" s="17">
        <v>45931</v>
      </c>
      <c r="F10" s="17"/>
      <c r="G10" s="28" t="s">
        <v>61</v>
      </c>
      <c r="H10" s="18" t="str">
        <f>IFERROR(VLOOKUP(G10,List2!$B$2:$C$100,2,FALSE), "Kerkali xodim topilmadi")</f>
        <v>LOBAR QO'LDOSHEVNA</v>
      </c>
      <c r="I10" s="7" t="str">
        <f>IFERROR(VLOOKUP(G10,List2!$B$2:$D$100,3,FALSE), "Kerkali BO'LIM topilmadi")</f>
        <v>Gynocology</v>
      </c>
      <c r="J10" s="19" t="s">
        <v>26</v>
      </c>
      <c r="K10" s="20">
        <v>4</v>
      </c>
      <c r="L10" s="21"/>
      <c r="M10" s="21"/>
      <c r="N10" s="21"/>
      <c r="O10" s="21"/>
      <c r="P10" s="9">
        <v>1050000</v>
      </c>
      <c r="Q10" s="16" t="s">
        <v>41</v>
      </c>
      <c r="R10" s="16" t="s">
        <v>62</v>
      </c>
      <c r="S10" s="22" t="s">
        <v>29</v>
      </c>
      <c r="T10" s="22" t="s">
        <v>30</v>
      </c>
      <c r="U10" s="22" t="s">
        <v>37</v>
      </c>
      <c r="V10" s="1" t="s">
        <v>44</v>
      </c>
      <c r="W10" s="26"/>
      <c r="X10" s="24"/>
      <c r="Y10" s="24"/>
      <c r="Z10" s="24"/>
      <c r="AA10" s="24"/>
      <c r="AB10" s="24"/>
      <c r="AC10" s="24"/>
      <c r="AD10" s="24"/>
      <c r="AE10" s="24"/>
    </row>
    <row r="11" spans="1:31" ht="20.2" customHeight="1" x14ac:dyDescent="0.3">
      <c r="A11" s="14" t="s">
        <v>22</v>
      </c>
      <c r="B11" s="15">
        <v>21891</v>
      </c>
      <c r="C11" s="16" t="s">
        <v>63</v>
      </c>
      <c r="D11" s="16">
        <v>507590007</v>
      </c>
      <c r="E11" s="17">
        <v>45931</v>
      </c>
      <c r="F11" s="17"/>
      <c r="G11" s="25" t="s">
        <v>34</v>
      </c>
      <c r="H11" s="18" t="str">
        <f>IFERROR(VLOOKUP(G11,List2!$B$2:$C$100,2,FALSE), "Kerkali xodim topilmadi")</f>
        <v>IRODA ABDULAZIZOVNA</v>
      </c>
      <c r="I11" s="7" t="str">
        <f>IFERROR(VLOOKUP(G11,List2!$B$2:$D$100,3,FALSE), "Kerkali BO'LIM topilmadi")</f>
        <v>Gynocology</v>
      </c>
      <c r="J11" s="19" t="s">
        <v>26</v>
      </c>
      <c r="K11" s="20">
        <v>4</v>
      </c>
      <c r="L11" s="21"/>
      <c r="M11" s="21"/>
      <c r="N11" s="21"/>
      <c r="O11" s="21"/>
      <c r="P11" s="9">
        <v>1050000</v>
      </c>
      <c r="Q11" s="16" t="s">
        <v>64</v>
      </c>
      <c r="R11" s="16" t="s">
        <v>65</v>
      </c>
      <c r="S11" s="22" t="s">
        <v>43</v>
      </c>
      <c r="T11" s="22" t="s">
        <v>30</v>
      </c>
      <c r="U11" s="22" t="s">
        <v>37</v>
      </c>
      <c r="V11" s="1" t="s">
        <v>44</v>
      </c>
      <c r="W11" s="26"/>
      <c r="X11" s="24"/>
      <c r="Y11" s="24"/>
      <c r="Z11" s="24"/>
      <c r="AA11" s="24"/>
      <c r="AB11" s="24"/>
      <c r="AC11" s="24"/>
      <c r="AD11" s="24"/>
      <c r="AE11" s="24"/>
    </row>
    <row r="12" spans="1:31" ht="20.2" customHeight="1" x14ac:dyDescent="0.3">
      <c r="A12" s="14" t="s">
        <v>22</v>
      </c>
      <c r="B12" s="15">
        <v>21892</v>
      </c>
      <c r="C12" s="16" t="s">
        <v>66</v>
      </c>
      <c r="D12" s="16" t="s">
        <v>67</v>
      </c>
      <c r="E12" s="17">
        <v>45931</v>
      </c>
      <c r="F12" s="17"/>
      <c r="G12" s="25" t="s">
        <v>68</v>
      </c>
      <c r="H12" s="18" t="str">
        <f>IFERROR(VLOOKUP(G12,List2!$B$2:$C$100,2,FALSE), "Kerkali xodim topilmadi")</f>
        <v xml:space="preserve">NIGORA G'ULOMOVNA       </v>
      </c>
      <c r="I12" s="7" t="str">
        <f>IFERROR(VLOOKUP(G12,List2!$B$2:$D$100,3,FALSE), "Kerkali BO'LIM topilmadi")</f>
        <v>Gynocology</v>
      </c>
      <c r="J12" s="19" t="s">
        <v>26</v>
      </c>
      <c r="K12" s="20">
        <v>4</v>
      </c>
      <c r="L12" s="21"/>
      <c r="M12" s="21"/>
      <c r="N12" s="21"/>
      <c r="O12" s="21"/>
      <c r="P12" s="9">
        <v>1050000</v>
      </c>
      <c r="Q12" s="16" t="s">
        <v>69</v>
      </c>
      <c r="R12" s="16" t="s">
        <v>70</v>
      </c>
      <c r="S12" s="22" t="s">
        <v>43</v>
      </c>
      <c r="T12" s="22" t="s">
        <v>30</v>
      </c>
      <c r="U12" s="22" t="s">
        <v>37</v>
      </c>
      <c r="V12" s="1" t="s">
        <v>44</v>
      </c>
      <c r="W12" s="26"/>
      <c r="X12" s="24"/>
      <c r="Y12" s="24"/>
      <c r="Z12" s="24"/>
      <c r="AA12" s="24"/>
      <c r="AB12" s="24"/>
      <c r="AC12" s="24"/>
      <c r="AD12" s="24"/>
      <c r="AE12" s="24"/>
    </row>
    <row r="13" spans="1:31" ht="20.2" customHeight="1" x14ac:dyDescent="0.3">
      <c r="A13" s="14" t="s">
        <v>22</v>
      </c>
      <c r="B13" s="15">
        <v>21893</v>
      </c>
      <c r="C13" s="16" t="s">
        <v>71</v>
      </c>
      <c r="D13" s="16" t="s">
        <v>72</v>
      </c>
      <c r="E13" s="17">
        <v>45931</v>
      </c>
      <c r="F13" s="17"/>
      <c r="G13" s="28" t="s">
        <v>73</v>
      </c>
      <c r="H13" s="18" t="str">
        <f>IFERROR(VLOOKUP(G13,List2!$B$2:$C$100,2,FALSE), "Kerkali xodim topilmadi")</f>
        <v xml:space="preserve">FOTIMA NOSIRBAYEVNA     </v>
      </c>
      <c r="I13" s="7" t="str">
        <f>IFERROR(VLOOKUP(G13,List2!$B$2:$D$100,3,FALSE), "Kerkali BO'LIM topilmadi")</f>
        <v>A</v>
      </c>
      <c r="J13" s="19" t="s">
        <v>26</v>
      </c>
      <c r="K13" s="20">
        <v>4</v>
      </c>
      <c r="L13" s="21"/>
      <c r="M13" s="21"/>
      <c r="N13" s="21"/>
      <c r="O13" s="21"/>
      <c r="P13" s="9">
        <v>1050000</v>
      </c>
      <c r="Q13" s="16" t="s">
        <v>55</v>
      </c>
      <c r="R13" s="16" t="s">
        <v>74</v>
      </c>
      <c r="S13" s="22" t="s">
        <v>29</v>
      </c>
      <c r="T13" s="22" t="s">
        <v>30</v>
      </c>
      <c r="U13" s="22" t="s">
        <v>37</v>
      </c>
      <c r="V13" s="1" t="s">
        <v>44</v>
      </c>
      <c r="W13" s="26"/>
      <c r="X13" s="24"/>
      <c r="Y13" s="24"/>
      <c r="Z13" s="24"/>
      <c r="AA13" s="24"/>
      <c r="AB13" s="24"/>
      <c r="AC13" s="24"/>
      <c r="AD13" s="24"/>
      <c r="AE13" s="24"/>
    </row>
    <row r="14" spans="1:31" ht="20.2" customHeight="1" x14ac:dyDescent="0.3">
      <c r="A14" s="14" t="s">
        <v>22</v>
      </c>
      <c r="B14" s="15">
        <v>21894</v>
      </c>
      <c r="C14" s="16" t="s">
        <v>75</v>
      </c>
      <c r="D14" s="16">
        <v>932323037</v>
      </c>
      <c r="E14" s="17">
        <v>45931</v>
      </c>
      <c r="F14" s="17"/>
      <c r="G14" s="28" t="s">
        <v>73</v>
      </c>
      <c r="H14" s="18" t="str">
        <f>IFERROR(VLOOKUP(G14,List2!$B$2:$C$100,2,FALSE), "Kerkali xodim topilmadi")</f>
        <v xml:space="preserve">FOTIMA NOSIRBAYEVNA     </v>
      </c>
      <c r="I14" s="7" t="str">
        <f>IFERROR(VLOOKUP(G14,List2!$B$2:$D$100,3,FALSE), "Kerkali BO'LIM topilmadi")</f>
        <v>A</v>
      </c>
      <c r="J14" s="19" t="s">
        <v>26</v>
      </c>
      <c r="K14" s="20">
        <v>4</v>
      </c>
      <c r="L14" s="21"/>
      <c r="M14" s="21"/>
      <c r="N14" s="21"/>
      <c r="O14" s="21"/>
      <c r="P14" s="9">
        <v>1000000</v>
      </c>
      <c r="Q14" s="16" t="s">
        <v>76</v>
      </c>
      <c r="R14" s="16" t="s">
        <v>77</v>
      </c>
      <c r="S14" s="22" t="s">
        <v>29</v>
      </c>
      <c r="T14" s="22" t="s">
        <v>30</v>
      </c>
      <c r="U14" s="22" t="s">
        <v>37</v>
      </c>
      <c r="V14" s="1" t="s">
        <v>44</v>
      </c>
      <c r="W14" s="26"/>
      <c r="X14" s="24"/>
      <c r="Y14" s="24"/>
      <c r="Z14" s="24"/>
      <c r="AA14" s="24"/>
      <c r="AB14" s="24"/>
      <c r="AC14" s="24"/>
      <c r="AD14" s="24"/>
      <c r="AE14" s="24"/>
    </row>
    <row r="15" spans="1:31" ht="20.2" customHeight="1" x14ac:dyDescent="0.3">
      <c r="A15" s="14" t="s">
        <v>22</v>
      </c>
      <c r="B15" s="15">
        <v>21895</v>
      </c>
      <c r="C15" s="16" t="s">
        <v>78</v>
      </c>
      <c r="D15" s="16">
        <v>942429697</v>
      </c>
      <c r="E15" s="17">
        <v>45931</v>
      </c>
      <c r="F15" s="17"/>
      <c r="G15" s="25" t="s">
        <v>68</v>
      </c>
      <c r="H15" s="18" t="str">
        <f>IFERROR(VLOOKUP(G15,List2!$B$2:$C$100,2,FALSE), "Kerkali xodim topilmadi")</f>
        <v xml:space="preserve">NIGORA G'ULOMOVNA       </v>
      </c>
      <c r="I15" s="7" t="str">
        <f>IFERROR(VLOOKUP(G15,List2!$B$2:$D$100,3,FALSE), "Kerkali BO'LIM topilmadi")</f>
        <v>Gynocology</v>
      </c>
      <c r="J15" s="19" t="s">
        <v>26</v>
      </c>
      <c r="K15" s="20">
        <v>6</v>
      </c>
      <c r="L15" s="21"/>
      <c r="M15" s="21"/>
      <c r="N15" s="21"/>
      <c r="O15" s="21"/>
      <c r="P15" s="9">
        <v>1300000</v>
      </c>
      <c r="Q15" s="16" t="s">
        <v>79</v>
      </c>
      <c r="R15" s="16" t="s">
        <v>80</v>
      </c>
      <c r="S15" s="22" t="s">
        <v>29</v>
      </c>
      <c r="T15" s="22" t="s">
        <v>30</v>
      </c>
      <c r="U15" s="22" t="s">
        <v>37</v>
      </c>
      <c r="V15" s="1" t="s">
        <v>44</v>
      </c>
      <c r="W15" s="26"/>
      <c r="X15" s="24"/>
      <c r="Y15" s="24"/>
      <c r="Z15" s="24"/>
      <c r="AA15" s="24"/>
      <c r="AB15" s="24"/>
      <c r="AC15" s="24"/>
      <c r="AD15" s="24"/>
      <c r="AE15" s="24"/>
    </row>
    <row r="16" spans="1:31" ht="20.2" customHeight="1" x14ac:dyDescent="0.3">
      <c r="A16" s="14" t="s">
        <v>22</v>
      </c>
      <c r="B16" s="15">
        <v>21896</v>
      </c>
      <c r="C16" s="16" t="s">
        <v>81</v>
      </c>
      <c r="D16" s="16">
        <v>940790290</v>
      </c>
      <c r="E16" s="17">
        <v>45931</v>
      </c>
      <c r="F16" s="17"/>
      <c r="G16" s="25" t="s">
        <v>82</v>
      </c>
      <c r="H16" s="18" t="str">
        <f>IFERROR(VLOOKUP(G16,List2!$B$2:$C$100,2,FALSE), "Kerkali xodim topilmadi")</f>
        <v xml:space="preserve">XILOLA TURG'UNOVNA    </v>
      </c>
      <c r="I16" s="7" t="str">
        <f>IFERROR(VLOOKUP(G16,List2!$B$2:$D$100,3,FALSE), "Kerkali BO'LIM topilmadi")</f>
        <v>Gynocology</v>
      </c>
      <c r="J16" s="19" t="s">
        <v>26</v>
      </c>
      <c r="K16" s="20">
        <v>4</v>
      </c>
      <c r="L16" s="21"/>
      <c r="M16" s="21"/>
      <c r="N16" s="21"/>
      <c r="O16" s="21"/>
      <c r="P16" s="9">
        <v>1050000</v>
      </c>
      <c r="Q16" s="16" t="s">
        <v>69</v>
      </c>
      <c r="R16" s="16" t="s">
        <v>83</v>
      </c>
      <c r="S16" s="22" t="s">
        <v>43</v>
      </c>
      <c r="T16" s="22" t="s">
        <v>30</v>
      </c>
      <c r="U16" s="22" t="s">
        <v>37</v>
      </c>
      <c r="V16" s="1" t="s">
        <v>44</v>
      </c>
      <c r="W16" s="26"/>
      <c r="X16" s="24"/>
      <c r="Y16" s="24"/>
      <c r="Z16" s="24"/>
      <c r="AA16" s="24"/>
      <c r="AB16" s="24"/>
      <c r="AC16" s="24"/>
      <c r="AD16" s="24"/>
      <c r="AE16" s="24"/>
    </row>
    <row r="17" spans="1:31" ht="20.2" customHeight="1" x14ac:dyDescent="0.3">
      <c r="A17" s="14" t="s">
        <v>22</v>
      </c>
      <c r="B17" s="15">
        <v>21897</v>
      </c>
      <c r="C17" s="16" t="s">
        <v>84</v>
      </c>
      <c r="D17" s="16">
        <v>977462112</v>
      </c>
      <c r="E17" s="17">
        <v>45931</v>
      </c>
      <c r="F17" s="17"/>
      <c r="G17" s="25" t="s">
        <v>46</v>
      </c>
      <c r="H17" s="18" t="str">
        <f>IFERROR(VLOOKUP(G17,List2!$B$2:$C$100,2,FALSE), "Kerkali xodim topilmadi")</f>
        <v xml:space="preserve">DILSHODA NORQUVONONA </v>
      </c>
      <c r="I17" s="7" t="str">
        <f>IFERROR(VLOOKUP(G17,List2!$B$2:$D$100,3,FALSE), "Kerkali BO'LIM topilmadi")</f>
        <v>Gynocology</v>
      </c>
      <c r="J17" s="19" t="s">
        <v>26</v>
      </c>
      <c r="K17" s="20">
        <v>4</v>
      </c>
      <c r="L17" s="21"/>
      <c r="M17" s="21"/>
      <c r="N17" s="21"/>
      <c r="O17" s="21"/>
      <c r="P17" s="9">
        <v>1050000</v>
      </c>
      <c r="Q17" s="16" t="s">
        <v>85</v>
      </c>
      <c r="R17" s="16" t="s">
        <v>86</v>
      </c>
      <c r="S17" s="22" t="s">
        <v>43</v>
      </c>
      <c r="T17" s="22" t="s">
        <v>30</v>
      </c>
      <c r="U17" s="22" t="s">
        <v>37</v>
      </c>
      <c r="V17" s="1" t="s">
        <v>44</v>
      </c>
      <c r="W17" s="26"/>
      <c r="X17" s="24"/>
      <c r="Y17" s="24"/>
      <c r="Z17" s="24"/>
      <c r="AA17" s="24"/>
      <c r="AB17" s="24"/>
      <c r="AC17" s="24"/>
      <c r="AD17" s="24"/>
      <c r="AE17" s="24"/>
    </row>
    <row r="18" spans="1:31" ht="20.2" customHeight="1" x14ac:dyDescent="0.3">
      <c r="A18" s="14" t="s">
        <v>22</v>
      </c>
      <c r="B18" s="15">
        <v>21898</v>
      </c>
      <c r="C18" s="16" t="s">
        <v>87</v>
      </c>
      <c r="D18" s="16">
        <v>952355227</v>
      </c>
      <c r="E18" s="17">
        <v>45931</v>
      </c>
      <c r="F18" s="17"/>
      <c r="G18" s="28" t="s">
        <v>73</v>
      </c>
      <c r="H18" s="18" t="str">
        <f>IFERROR(VLOOKUP(G18,List2!$B$2:$C$100,2,FALSE), "Kerkali xodim topilmadi")</f>
        <v xml:space="preserve">FOTIMA NOSIRBAYEVNA     </v>
      </c>
      <c r="I18" s="7" t="str">
        <f>IFERROR(VLOOKUP(G18,List2!$B$2:$D$100,3,FALSE), "Kerkali BO'LIM topilmadi")</f>
        <v>A</v>
      </c>
      <c r="J18" s="19" t="s">
        <v>26</v>
      </c>
      <c r="K18" s="20">
        <v>4</v>
      </c>
      <c r="L18" s="21"/>
      <c r="M18" s="21"/>
      <c r="N18" s="21"/>
      <c r="O18" s="21"/>
      <c r="P18" s="9">
        <v>1050000</v>
      </c>
      <c r="Q18" s="16" t="s">
        <v>55</v>
      </c>
      <c r="R18" s="16" t="s">
        <v>88</v>
      </c>
      <c r="S18" s="22" t="s">
        <v>29</v>
      </c>
      <c r="T18" s="22" t="s">
        <v>30</v>
      </c>
      <c r="U18" s="22" t="s">
        <v>37</v>
      </c>
      <c r="V18" s="1" t="s">
        <v>38</v>
      </c>
      <c r="W18" s="26"/>
      <c r="X18" s="24"/>
      <c r="Y18" s="24"/>
      <c r="Z18" s="24"/>
      <c r="AA18" s="24"/>
      <c r="AB18" s="24"/>
      <c r="AC18" s="24"/>
      <c r="AD18" s="24"/>
      <c r="AE18" s="24"/>
    </row>
    <row r="19" spans="1:31" ht="20.2" customHeight="1" x14ac:dyDescent="0.3">
      <c r="A19" s="14" t="s">
        <v>22</v>
      </c>
      <c r="B19" s="15">
        <v>21899</v>
      </c>
      <c r="C19" s="16" t="s">
        <v>89</v>
      </c>
      <c r="D19" s="16" t="s">
        <v>90</v>
      </c>
      <c r="E19" s="17">
        <v>45931</v>
      </c>
      <c r="F19" s="17"/>
      <c r="G19" s="25" t="s">
        <v>58</v>
      </c>
      <c r="H19" s="18" t="str">
        <f>IFERROR(VLOOKUP(G19,List2!$B$2:$C$100,2,FALSE), "Kerkali xodim topilmadi")</f>
        <v xml:space="preserve">ZAMIRA MELISOVNA      </v>
      </c>
      <c r="I19" s="7" t="str">
        <f>IFERROR(VLOOKUP(G19,List2!$B$2:$D$100,3,FALSE), "Kerkali BO'LIM topilmadi")</f>
        <v>Baza</v>
      </c>
      <c r="J19" s="19" t="s">
        <v>26</v>
      </c>
      <c r="K19" s="20">
        <v>6</v>
      </c>
      <c r="L19" s="21"/>
      <c r="M19" s="21"/>
      <c r="N19" s="21"/>
      <c r="O19" s="21"/>
      <c r="P19" s="9">
        <v>1300000</v>
      </c>
      <c r="Q19" s="16" t="s">
        <v>35</v>
      </c>
      <c r="R19" s="16" t="s">
        <v>91</v>
      </c>
      <c r="S19" s="22" t="s">
        <v>43</v>
      </c>
      <c r="T19" s="22" t="s">
        <v>30</v>
      </c>
      <c r="U19" s="22" t="s">
        <v>37</v>
      </c>
      <c r="V19" s="1" t="s">
        <v>38</v>
      </c>
      <c r="W19" s="26"/>
      <c r="X19" s="24"/>
      <c r="Y19" s="24"/>
      <c r="Z19" s="24"/>
      <c r="AA19" s="24"/>
      <c r="AB19" s="24"/>
      <c r="AC19" s="24"/>
      <c r="AD19" s="24"/>
      <c r="AE19" s="24"/>
    </row>
    <row r="20" spans="1:31" ht="20.2" customHeight="1" x14ac:dyDescent="0.3">
      <c r="A20" s="14" t="s">
        <v>22</v>
      </c>
      <c r="B20" s="15">
        <v>21900</v>
      </c>
      <c r="C20" s="16" t="s">
        <v>92</v>
      </c>
      <c r="D20" s="16">
        <v>971144478</v>
      </c>
      <c r="E20" s="17">
        <v>45931</v>
      </c>
      <c r="F20" s="17"/>
      <c r="G20" s="25" t="s">
        <v>46</v>
      </c>
      <c r="H20" s="18" t="str">
        <f>IFERROR(VLOOKUP(G20,List2!$B$2:$C$100,2,FALSE), "Kerkali xodim topilmadi")</f>
        <v xml:space="preserve">DILSHODA NORQUVONONA </v>
      </c>
      <c r="I20" s="7" t="str">
        <f>IFERROR(VLOOKUP(G20,List2!$B$2:$D$100,3,FALSE), "Kerkali BO'LIM topilmadi")</f>
        <v>Gynocology</v>
      </c>
      <c r="J20" s="19" t="s">
        <v>26</v>
      </c>
      <c r="K20" s="20">
        <v>4</v>
      </c>
      <c r="L20" s="21"/>
      <c r="M20" s="21"/>
      <c r="N20" s="21"/>
      <c r="O20" s="21"/>
      <c r="P20" s="9">
        <v>1050000</v>
      </c>
      <c r="Q20" s="16" t="s">
        <v>52</v>
      </c>
      <c r="R20" s="16" t="s">
        <v>93</v>
      </c>
      <c r="S20" s="22" t="s">
        <v>43</v>
      </c>
      <c r="T20" s="22" t="s">
        <v>30</v>
      </c>
      <c r="U20" s="22" t="s">
        <v>37</v>
      </c>
      <c r="V20" s="1" t="s">
        <v>44</v>
      </c>
      <c r="W20" s="26"/>
      <c r="X20" s="24"/>
      <c r="Y20" s="24"/>
      <c r="Z20" s="24"/>
      <c r="AA20" s="24"/>
      <c r="AB20" s="24"/>
      <c r="AC20" s="24"/>
      <c r="AD20" s="24"/>
      <c r="AE20" s="24"/>
    </row>
    <row r="21" spans="1:31" ht="20.2" customHeight="1" x14ac:dyDescent="0.3">
      <c r="A21" s="14"/>
      <c r="B21" s="15"/>
      <c r="C21" s="16"/>
      <c r="D21" s="16"/>
      <c r="E21" s="17"/>
      <c r="F21" s="32"/>
      <c r="G21" s="25"/>
      <c r="H21" s="18"/>
      <c r="I21" s="7"/>
      <c r="J21" s="19"/>
      <c r="K21" s="20"/>
      <c r="L21" s="31"/>
      <c r="M21" s="31"/>
      <c r="N21" s="31"/>
      <c r="O21" s="31"/>
      <c r="P21" s="9"/>
      <c r="Q21" s="16"/>
      <c r="R21" s="16"/>
      <c r="S21" s="22"/>
      <c r="T21" s="22"/>
      <c r="U21" s="4"/>
      <c r="V21" s="4"/>
      <c r="W21" s="16"/>
      <c r="X21" s="13"/>
      <c r="Y21" s="13"/>
      <c r="Z21" s="13"/>
      <c r="AA21" s="13"/>
      <c r="AB21" s="13"/>
      <c r="AC21" s="13"/>
      <c r="AD21" s="13"/>
      <c r="AE21" s="13"/>
    </row>
    <row r="22" spans="1:31" ht="20.2" customHeight="1" x14ac:dyDescent="0.3">
      <c r="A22" s="14"/>
      <c r="B22" s="15"/>
      <c r="C22" s="16"/>
      <c r="D22" s="16"/>
      <c r="E22" s="17"/>
      <c r="F22" s="32"/>
      <c r="G22" s="25"/>
      <c r="H22" s="18"/>
      <c r="I22" s="7"/>
      <c r="J22" s="19"/>
      <c r="K22" s="20"/>
      <c r="L22" s="31"/>
      <c r="M22" s="31"/>
      <c r="N22" s="31"/>
      <c r="O22" s="31"/>
      <c r="P22" s="9"/>
      <c r="Q22" s="16"/>
      <c r="R22" s="16"/>
      <c r="S22" s="22"/>
      <c r="T22" s="22"/>
      <c r="U22" s="4"/>
      <c r="V22" s="4"/>
      <c r="W22" s="16"/>
      <c r="X22" s="13"/>
      <c r="Y22" s="13"/>
      <c r="Z22" s="13"/>
      <c r="AA22" s="13"/>
      <c r="AB22" s="13"/>
      <c r="AC22" s="13"/>
      <c r="AD22" s="13"/>
      <c r="AE22" s="13"/>
    </row>
    <row r="23" spans="1:31" ht="20.2" customHeight="1" x14ac:dyDescent="0.3">
      <c r="A23" s="14"/>
      <c r="B23" s="15"/>
      <c r="C23" s="16"/>
      <c r="D23" s="16"/>
      <c r="E23" s="17"/>
      <c r="F23" s="32"/>
      <c r="G23" s="25"/>
      <c r="H23" s="18"/>
      <c r="I23" s="7"/>
      <c r="J23" s="19"/>
      <c r="K23" s="20"/>
      <c r="L23" s="31"/>
      <c r="M23" s="31"/>
      <c r="N23" s="31"/>
      <c r="O23" s="31"/>
      <c r="P23" s="9"/>
      <c r="Q23" s="16"/>
      <c r="R23" s="16"/>
      <c r="S23" s="22"/>
      <c r="T23" s="22"/>
      <c r="U23" s="4"/>
      <c r="V23" s="13"/>
      <c r="W23" s="16"/>
      <c r="X23" s="13"/>
      <c r="Y23" s="13"/>
      <c r="Z23" s="13"/>
      <c r="AA23" s="13"/>
      <c r="AB23" s="13"/>
      <c r="AC23" s="13"/>
      <c r="AD23" s="13"/>
      <c r="AE23" s="13"/>
    </row>
    <row r="24" spans="1:31" ht="20.2" customHeight="1" x14ac:dyDescent="0.3">
      <c r="A24" s="14"/>
      <c r="B24" s="15"/>
      <c r="C24" s="16"/>
      <c r="D24" s="16"/>
      <c r="E24" s="17"/>
      <c r="F24" s="32"/>
      <c r="G24" s="25"/>
      <c r="H24" s="18"/>
      <c r="I24" s="7"/>
      <c r="J24" s="19"/>
      <c r="K24" s="20"/>
      <c r="L24" s="31"/>
      <c r="M24" s="31"/>
      <c r="N24" s="31"/>
      <c r="O24" s="31"/>
      <c r="P24" s="9"/>
      <c r="Q24" s="16"/>
      <c r="R24" s="16"/>
      <c r="S24" s="22"/>
      <c r="T24" s="22"/>
      <c r="U24" s="4"/>
      <c r="V24" s="4"/>
      <c r="W24" s="38"/>
      <c r="X24" s="13"/>
      <c r="Y24" s="13"/>
      <c r="Z24" s="13"/>
      <c r="AA24" s="13"/>
      <c r="AB24" s="13"/>
      <c r="AC24" s="13"/>
      <c r="AD24" s="13"/>
      <c r="AE24" s="13"/>
    </row>
    <row r="25" spans="1:31" ht="20.2" customHeight="1" x14ac:dyDescent="0.3">
      <c r="A25" s="14"/>
      <c r="B25" s="15"/>
      <c r="C25" s="16"/>
      <c r="D25" s="16"/>
      <c r="E25" s="17"/>
      <c r="F25" s="32"/>
      <c r="G25" s="25"/>
      <c r="H25" s="18"/>
      <c r="I25" s="7"/>
      <c r="J25" s="19"/>
      <c r="K25" s="20"/>
      <c r="L25" s="31"/>
      <c r="M25" s="31"/>
      <c r="N25" s="31"/>
      <c r="O25" s="31"/>
      <c r="P25" s="9"/>
      <c r="Q25" s="16"/>
      <c r="R25" s="16"/>
      <c r="S25" s="22"/>
      <c r="T25" s="22"/>
      <c r="U25" s="4"/>
      <c r="V25" s="4"/>
      <c r="W25" s="38"/>
      <c r="X25" s="13"/>
      <c r="Y25" s="13"/>
      <c r="Z25" s="13"/>
      <c r="AA25" s="13"/>
      <c r="AB25" s="13"/>
      <c r="AC25" s="13"/>
      <c r="AD25" s="13"/>
      <c r="AE25" s="13"/>
    </row>
    <row r="26" spans="1:31" ht="20.2" customHeight="1" x14ac:dyDescent="0.3">
      <c r="A26" s="14"/>
      <c r="B26" s="15"/>
      <c r="C26" s="16"/>
      <c r="D26" s="16"/>
      <c r="E26" s="17"/>
      <c r="F26" s="32"/>
      <c r="G26" s="25"/>
      <c r="H26" s="18"/>
      <c r="I26" s="7"/>
      <c r="J26" s="19"/>
      <c r="K26" s="20"/>
      <c r="L26" s="31"/>
      <c r="M26" s="31"/>
      <c r="N26" s="31"/>
      <c r="O26" s="31"/>
      <c r="P26" s="9"/>
      <c r="Q26" s="16"/>
      <c r="R26" s="16"/>
      <c r="S26" s="22"/>
      <c r="T26" s="22"/>
      <c r="U26" s="4"/>
      <c r="V26" s="13"/>
      <c r="W26" s="16"/>
      <c r="X26" s="13"/>
      <c r="Y26" s="13"/>
      <c r="Z26" s="13"/>
      <c r="AA26" s="13"/>
      <c r="AB26" s="13"/>
      <c r="AC26" s="13"/>
      <c r="AD26" s="13"/>
      <c r="AE26" s="13"/>
    </row>
    <row r="27" spans="1:31" ht="20.2" customHeight="1" x14ac:dyDescent="0.3">
      <c r="A27" s="14"/>
      <c r="B27" s="15"/>
      <c r="C27" s="16"/>
      <c r="D27" s="16"/>
      <c r="E27" s="17"/>
      <c r="F27" s="32"/>
      <c r="G27" s="25"/>
      <c r="H27" s="18"/>
      <c r="I27" s="7"/>
      <c r="J27" s="19"/>
      <c r="K27" s="20"/>
      <c r="L27" s="31"/>
      <c r="M27" s="31"/>
      <c r="N27" s="31"/>
      <c r="O27" s="31"/>
      <c r="P27" s="9"/>
      <c r="Q27" s="16"/>
      <c r="R27" s="16"/>
      <c r="S27" s="22"/>
      <c r="T27" s="22"/>
      <c r="U27" s="4"/>
      <c r="V27" s="4"/>
      <c r="W27" s="16"/>
      <c r="X27" s="13"/>
      <c r="Y27" s="13"/>
      <c r="Z27" s="13"/>
      <c r="AA27" s="13"/>
      <c r="AB27" s="13"/>
      <c r="AC27" s="13"/>
      <c r="AD27" s="13"/>
      <c r="AE27" s="13"/>
    </row>
    <row r="28" spans="1:31" ht="20.2" customHeight="1" x14ac:dyDescent="0.3">
      <c r="A28" s="14"/>
      <c r="B28" s="15"/>
      <c r="C28" s="16"/>
      <c r="D28" s="16"/>
      <c r="E28" s="17"/>
      <c r="F28" s="32"/>
      <c r="G28" s="25"/>
      <c r="H28" s="18"/>
      <c r="I28" s="7"/>
      <c r="J28" s="19"/>
      <c r="K28" s="20"/>
      <c r="L28" s="31"/>
      <c r="M28" s="31"/>
      <c r="N28" s="31"/>
      <c r="O28" s="31"/>
      <c r="P28" s="9"/>
      <c r="Q28" s="16"/>
      <c r="R28" s="16"/>
      <c r="S28" s="22"/>
      <c r="T28" s="22"/>
      <c r="U28" s="4"/>
      <c r="V28" s="13"/>
      <c r="W28" s="16"/>
      <c r="X28" s="13"/>
      <c r="Y28" s="13"/>
      <c r="Z28" s="13"/>
      <c r="AA28" s="13"/>
      <c r="AB28" s="13"/>
      <c r="AC28" s="13"/>
      <c r="AD28" s="13"/>
      <c r="AE28" s="13"/>
    </row>
    <row r="29" spans="1:31" ht="20.2" customHeight="1" x14ac:dyDescent="0.3">
      <c r="A29" s="14"/>
      <c r="B29" s="15"/>
      <c r="C29" s="16"/>
      <c r="D29" s="16"/>
      <c r="E29" s="17"/>
      <c r="F29" s="32"/>
      <c r="G29" s="25"/>
      <c r="H29" s="18"/>
      <c r="I29" s="7"/>
      <c r="J29" s="19"/>
      <c r="K29" s="20"/>
      <c r="L29" s="31"/>
      <c r="M29" s="31"/>
      <c r="N29" s="31"/>
      <c r="O29" s="31"/>
      <c r="P29" s="9"/>
      <c r="Q29" s="16"/>
      <c r="R29" s="16"/>
      <c r="S29" s="22"/>
      <c r="T29" s="22"/>
      <c r="U29" s="4"/>
      <c r="V29" s="4"/>
      <c r="W29" s="16"/>
      <c r="X29" s="13"/>
      <c r="Y29" s="13"/>
      <c r="Z29" s="13"/>
      <c r="AA29" s="13"/>
      <c r="AB29" s="13"/>
      <c r="AC29" s="13"/>
      <c r="AD29" s="13"/>
      <c r="AE29" s="13"/>
    </row>
    <row r="30" spans="1:31" ht="20.2" customHeight="1" x14ac:dyDescent="0.3">
      <c r="A30" s="14"/>
      <c r="B30" s="15"/>
      <c r="C30" s="16"/>
      <c r="D30" s="16"/>
      <c r="E30" s="17"/>
      <c r="F30" s="32"/>
      <c r="G30" s="25"/>
      <c r="H30" s="18"/>
      <c r="I30" s="7"/>
      <c r="J30" s="19"/>
      <c r="K30" s="20"/>
      <c r="L30" s="31"/>
      <c r="M30" s="31"/>
      <c r="N30" s="31"/>
      <c r="O30" s="31"/>
      <c r="P30" s="9"/>
      <c r="Q30" s="16"/>
      <c r="R30" s="16"/>
      <c r="S30" s="22"/>
      <c r="T30" s="22"/>
      <c r="U30" s="4"/>
      <c r="V30" s="4"/>
      <c r="W30" s="16"/>
      <c r="X30" s="13"/>
      <c r="Y30" s="13"/>
      <c r="Z30" s="13"/>
      <c r="AA30" s="13"/>
      <c r="AB30" s="13"/>
      <c r="AC30" s="13"/>
      <c r="AD30" s="13"/>
      <c r="AE30" s="13"/>
    </row>
    <row r="31" spans="1:31" ht="20.2" customHeight="1" x14ac:dyDescent="0.3">
      <c r="A31" s="14"/>
      <c r="B31" s="15"/>
      <c r="C31" s="16"/>
      <c r="D31" s="16"/>
      <c r="E31" s="17"/>
      <c r="F31" s="32"/>
      <c r="G31" s="25"/>
      <c r="H31" s="18"/>
      <c r="I31" s="7"/>
      <c r="J31" s="19"/>
      <c r="K31" s="20"/>
      <c r="L31" s="31"/>
      <c r="M31" s="31"/>
      <c r="N31" s="31"/>
      <c r="O31" s="31"/>
      <c r="P31" s="9"/>
      <c r="Q31" s="16"/>
      <c r="R31" s="16"/>
      <c r="S31" s="22"/>
      <c r="T31" s="22"/>
      <c r="U31" s="4"/>
      <c r="V31" s="4"/>
      <c r="W31" s="38"/>
      <c r="X31" s="13"/>
      <c r="Y31" s="13"/>
      <c r="Z31" s="13"/>
      <c r="AA31" s="13"/>
      <c r="AB31" s="13"/>
      <c r="AC31" s="13"/>
      <c r="AD31" s="13"/>
      <c r="AE31" s="13"/>
    </row>
    <row r="32" spans="1:31" ht="20.2" customHeight="1" x14ac:dyDescent="0.3">
      <c r="A32" s="14"/>
      <c r="B32" s="15"/>
      <c r="C32" s="16"/>
      <c r="D32" s="16"/>
      <c r="E32" s="17"/>
      <c r="F32" s="32"/>
      <c r="G32" s="25"/>
      <c r="H32" s="18"/>
      <c r="I32" s="7"/>
      <c r="J32" s="19"/>
      <c r="K32" s="20"/>
      <c r="L32" s="31"/>
      <c r="M32" s="31"/>
      <c r="N32" s="31"/>
      <c r="O32" s="31"/>
      <c r="P32" s="9"/>
      <c r="Q32" s="16"/>
      <c r="R32" s="16"/>
      <c r="S32" s="22"/>
      <c r="T32" s="22"/>
      <c r="U32" s="4"/>
      <c r="V32" s="4"/>
      <c r="W32" s="16"/>
      <c r="X32" s="13"/>
      <c r="Y32" s="13"/>
      <c r="Z32" s="13"/>
      <c r="AA32" s="13"/>
      <c r="AB32" s="13"/>
      <c r="AC32" s="13"/>
      <c r="AD32" s="13"/>
      <c r="AE32" s="13"/>
    </row>
    <row r="33" spans="1:31" ht="20.2" customHeight="1" x14ac:dyDescent="0.3">
      <c r="A33" s="14"/>
      <c r="B33" s="15"/>
      <c r="C33" s="16"/>
      <c r="D33" s="16"/>
      <c r="E33" s="17"/>
      <c r="F33" s="32"/>
      <c r="G33" s="25"/>
      <c r="H33" s="18"/>
      <c r="I33" s="7"/>
      <c r="J33" s="19"/>
      <c r="K33" s="20"/>
      <c r="L33" s="31"/>
      <c r="M33" s="31"/>
      <c r="N33" s="31"/>
      <c r="O33" s="31"/>
      <c r="P33" s="9"/>
      <c r="Q33" s="16"/>
      <c r="R33" s="16"/>
      <c r="S33" s="22"/>
      <c r="T33" s="22"/>
      <c r="U33" s="4"/>
      <c r="V33" s="4"/>
      <c r="W33" s="16"/>
      <c r="X33" s="13"/>
      <c r="Y33" s="13"/>
      <c r="Z33" s="13"/>
      <c r="AA33" s="13"/>
      <c r="AB33" s="13"/>
      <c r="AC33" s="13"/>
      <c r="AD33" s="13"/>
      <c r="AE33" s="13"/>
    </row>
    <row r="34" spans="1:31" ht="20.2" customHeight="1" x14ac:dyDescent="0.3">
      <c r="A34" s="14"/>
      <c r="B34" s="15"/>
      <c r="C34" s="16"/>
      <c r="D34" s="16"/>
      <c r="E34" s="17"/>
      <c r="F34" s="32"/>
      <c r="G34" s="25"/>
      <c r="H34" s="18"/>
      <c r="I34" s="7"/>
      <c r="J34" s="19"/>
      <c r="K34" s="20"/>
      <c r="L34" s="31"/>
      <c r="M34" s="31"/>
      <c r="N34" s="31"/>
      <c r="O34" s="31"/>
      <c r="P34" s="9"/>
      <c r="Q34" s="16"/>
      <c r="R34" s="16"/>
      <c r="S34" s="22"/>
      <c r="T34" s="22"/>
      <c r="U34" s="4"/>
      <c r="V34" s="4"/>
      <c r="W34" s="16"/>
      <c r="X34" s="13"/>
      <c r="Y34" s="13"/>
      <c r="Z34" s="13"/>
      <c r="AA34" s="13"/>
      <c r="AB34" s="13"/>
      <c r="AC34" s="13"/>
      <c r="AD34" s="13"/>
      <c r="AE34" s="13"/>
    </row>
    <row r="35" spans="1:31" ht="20.2" customHeight="1" x14ac:dyDescent="0.3">
      <c r="A35" s="14"/>
      <c r="B35" s="15"/>
      <c r="C35" s="16"/>
      <c r="D35" s="16"/>
      <c r="E35" s="17"/>
      <c r="F35" s="32"/>
      <c r="G35" s="25"/>
      <c r="H35" s="18"/>
      <c r="I35" s="7"/>
      <c r="J35" s="19"/>
      <c r="K35" s="20"/>
      <c r="L35" s="31"/>
      <c r="M35" s="31"/>
      <c r="N35" s="31"/>
      <c r="O35" s="31"/>
      <c r="P35" s="9"/>
      <c r="Q35" s="16"/>
      <c r="R35" s="16"/>
      <c r="S35" s="22"/>
      <c r="T35" s="22"/>
      <c r="U35" s="4"/>
      <c r="V35" s="4"/>
      <c r="W35" s="16"/>
      <c r="X35" s="13"/>
      <c r="Y35" s="13"/>
      <c r="Z35" s="13"/>
      <c r="AA35" s="13"/>
      <c r="AB35" s="13"/>
      <c r="AC35" s="13"/>
      <c r="AD35" s="13"/>
      <c r="AE35" s="13"/>
    </row>
    <row r="36" spans="1:31" ht="20.2" customHeight="1" x14ac:dyDescent="0.3">
      <c r="A36" s="14"/>
      <c r="B36" s="15"/>
      <c r="C36" s="16"/>
      <c r="D36" s="16"/>
      <c r="E36" s="17"/>
      <c r="F36" s="32"/>
      <c r="G36" s="25"/>
      <c r="H36" s="18"/>
      <c r="I36" s="7"/>
      <c r="J36" s="19"/>
      <c r="K36" s="20"/>
      <c r="L36" s="31"/>
      <c r="M36" s="31"/>
      <c r="N36" s="31"/>
      <c r="O36" s="31"/>
      <c r="P36" s="9"/>
      <c r="Q36" s="16"/>
      <c r="R36" s="16"/>
      <c r="S36" s="22"/>
      <c r="T36" s="22"/>
      <c r="U36" s="4"/>
      <c r="V36" s="4"/>
      <c r="W36" s="16"/>
      <c r="X36" s="13"/>
      <c r="Y36" s="13"/>
      <c r="Z36" s="13"/>
      <c r="AA36" s="13"/>
      <c r="AB36" s="13"/>
      <c r="AC36" s="13"/>
      <c r="AD36" s="13"/>
      <c r="AE36" s="13"/>
    </row>
    <row r="37" spans="1:31" ht="20.2" customHeight="1" x14ac:dyDescent="0.3">
      <c r="A37" s="14"/>
      <c r="B37" s="15"/>
      <c r="C37" s="16"/>
      <c r="D37" s="16"/>
      <c r="E37" s="17"/>
      <c r="F37" s="32"/>
      <c r="G37" s="25"/>
      <c r="H37" s="18"/>
      <c r="I37" s="7"/>
      <c r="J37" s="19"/>
      <c r="K37" s="20"/>
      <c r="L37" s="31"/>
      <c r="M37" s="31"/>
      <c r="N37" s="31"/>
      <c r="O37" s="31"/>
      <c r="P37" s="9"/>
      <c r="Q37" s="16"/>
      <c r="R37" s="16"/>
      <c r="S37" s="22"/>
      <c r="T37" s="22"/>
      <c r="U37" s="4"/>
      <c r="V37" s="4"/>
      <c r="W37" s="38"/>
      <c r="X37" s="13"/>
      <c r="Y37" s="13"/>
      <c r="Z37" s="13"/>
      <c r="AA37" s="13"/>
      <c r="AB37" s="13"/>
      <c r="AC37" s="13"/>
      <c r="AD37" s="13"/>
      <c r="AE37" s="13"/>
    </row>
    <row r="38" spans="1:31" ht="20.2" customHeight="1" x14ac:dyDescent="0.3">
      <c r="A38" s="14"/>
      <c r="B38" s="15"/>
      <c r="C38" s="16"/>
      <c r="D38" s="16"/>
      <c r="E38" s="17"/>
      <c r="F38" s="32"/>
      <c r="G38" s="25"/>
      <c r="H38" s="18"/>
      <c r="I38" s="7"/>
      <c r="J38" s="19"/>
      <c r="K38" s="20"/>
      <c r="L38" s="31"/>
      <c r="M38" s="31"/>
      <c r="N38" s="31"/>
      <c r="O38" s="31"/>
      <c r="P38" s="9"/>
      <c r="Q38" s="16"/>
      <c r="R38" s="16"/>
      <c r="S38" s="22"/>
      <c r="T38" s="22"/>
      <c r="U38" s="4"/>
      <c r="V38" s="4"/>
      <c r="W38" s="16"/>
      <c r="X38" s="13"/>
      <c r="Y38" s="13"/>
      <c r="Z38" s="13"/>
      <c r="AA38" s="13"/>
      <c r="AB38" s="13"/>
      <c r="AC38" s="13"/>
      <c r="AD38" s="13"/>
      <c r="AE38" s="13"/>
    </row>
    <row r="39" spans="1:31" ht="20.2" customHeight="1" x14ac:dyDescent="0.3">
      <c r="A39" s="14"/>
      <c r="B39" s="15"/>
      <c r="C39" s="16"/>
      <c r="D39" s="16"/>
      <c r="E39" s="17"/>
      <c r="F39" s="32"/>
      <c r="G39" s="25"/>
      <c r="H39" s="18"/>
      <c r="I39" s="7"/>
      <c r="J39" s="19"/>
      <c r="K39" s="20"/>
      <c r="L39" s="31"/>
      <c r="M39" s="31"/>
      <c r="N39" s="31"/>
      <c r="O39" s="31"/>
      <c r="P39" s="9"/>
      <c r="Q39" s="16"/>
      <c r="R39" s="16"/>
      <c r="S39" s="22"/>
      <c r="T39" s="22"/>
      <c r="U39" s="4"/>
      <c r="V39" s="4"/>
      <c r="W39" s="16"/>
      <c r="X39" s="13"/>
      <c r="Y39" s="13"/>
      <c r="Z39" s="13"/>
      <c r="AA39" s="13"/>
      <c r="AB39" s="13"/>
      <c r="AC39" s="13"/>
      <c r="AD39" s="13"/>
      <c r="AE39" s="13"/>
    </row>
    <row r="40" spans="1:31" ht="20.2" customHeight="1" x14ac:dyDescent="0.3">
      <c r="A40" s="14"/>
      <c r="B40" s="15"/>
      <c r="C40" s="16"/>
      <c r="D40" s="16"/>
      <c r="E40" s="17"/>
      <c r="F40" s="32"/>
      <c r="G40" s="25"/>
      <c r="H40" s="18"/>
      <c r="I40" s="7"/>
      <c r="J40" s="19"/>
      <c r="K40" s="20"/>
      <c r="L40" s="31"/>
      <c r="M40" s="31"/>
      <c r="N40" s="31"/>
      <c r="O40" s="31"/>
      <c r="P40" s="9"/>
      <c r="Q40" s="16"/>
      <c r="R40" s="16"/>
      <c r="S40" s="22"/>
      <c r="T40" s="22"/>
      <c r="U40" s="4"/>
      <c r="V40" s="13"/>
      <c r="W40" s="16"/>
      <c r="X40" s="13"/>
      <c r="Y40" s="13"/>
      <c r="Z40" s="13"/>
      <c r="AA40" s="13"/>
      <c r="AB40" s="13"/>
      <c r="AC40" s="13"/>
      <c r="AD40" s="13"/>
      <c r="AE40" s="13"/>
    </row>
    <row r="41" spans="1:31" ht="20.2" customHeight="1" x14ac:dyDescent="0.3">
      <c r="A41" s="14"/>
      <c r="B41" s="15"/>
      <c r="C41" s="16"/>
      <c r="D41" s="16"/>
      <c r="E41" s="17"/>
      <c r="F41" s="32"/>
      <c r="G41" s="25"/>
      <c r="H41" s="18"/>
      <c r="I41" s="7"/>
      <c r="J41" s="19"/>
      <c r="K41" s="20"/>
      <c r="L41" s="31"/>
      <c r="M41" s="31"/>
      <c r="N41" s="31"/>
      <c r="O41" s="31"/>
      <c r="P41" s="9"/>
      <c r="Q41" s="16"/>
      <c r="R41" s="16"/>
      <c r="S41" s="22"/>
      <c r="T41" s="22"/>
      <c r="U41" s="4"/>
      <c r="V41" s="4"/>
      <c r="W41" s="16"/>
      <c r="X41" s="13"/>
      <c r="Y41" s="13"/>
      <c r="Z41" s="13"/>
      <c r="AA41" s="13"/>
      <c r="AB41" s="13"/>
      <c r="AC41" s="13"/>
      <c r="AD41" s="13"/>
      <c r="AE41" s="13"/>
    </row>
    <row r="42" spans="1:31" ht="20.2" customHeight="1" x14ac:dyDescent="0.3">
      <c r="A42" s="14"/>
      <c r="B42" s="15"/>
      <c r="C42" s="16"/>
      <c r="D42" s="16"/>
      <c r="E42" s="17"/>
      <c r="F42" s="32"/>
      <c r="G42" s="25"/>
      <c r="H42" s="18"/>
      <c r="I42" s="7"/>
      <c r="J42" s="19"/>
      <c r="K42" s="20"/>
      <c r="L42" s="31"/>
      <c r="M42" s="31"/>
      <c r="N42" s="31"/>
      <c r="O42" s="31"/>
      <c r="P42" s="9"/>
      <c r="Q42" s="16"/>
      <c r="R42" s="16"/>
      <c r="S42" s="22"/>
      <c r="T42" s="22"/>
      <c r="U42" s="4"/>
      <c r="V42" s="13"/>
      <c r="W42" s="16"/>
      <c r="X42" s="13"/>
      <c r="Y42" s="13"/>
      <c r="Z42" s="13"/>
      <c r="AA42" s="13"/>
      <c r="AB42" s="13"/>
      <c r="AC42" s="13"/>
      <c r="AD42" s="13"/>
      <c r="AE42" s="13"/>
    </row>
    <row r="43" spans="1:31" ht="20.2" customHeight="1" x14ac:dyDescent="0.3">
      <c r="A43" s="14"/>
      <c r="B43" s="15"/>
      <c r="C43" s="16"/>
      <c r="D43" s="16"/>
      <c r="E43" s="17"/>
      <c r="F43" s="32"/>
      <c r="G43" s="25"/>
      <c r="H43" s="18"/>
      <c r="I43" s="7"/>
      <c r="J43" s="19"/>
      <c r="K43" s="20"/>
      <c r="L43" s="31"/>
      <c r="M43" s="31"/>
      <c r="N43" s="31"/>
      <c r="O43" s="31"/>
      <c r="P43" s="9"/>
      <c r="Q43" s="16"/>
      <c r="R43" s="16"/>
      <c r="S43" s="22"/>
      <c r="T43" s="22"/>
      <c r="U43" s="4"/>
      <c r="V43" s="13"/>
      <c r="W43" s="16"/>
      <c r="X43" s="13"/>
      <c r="Y43" s="13"/>
      <c r="Z43" s="13"/>
      <c r="AA43" s="13"/>
      <c r="AB43" s="13"/>
      <c r="AC43" s="13"/>
      <c r="AD43" s="13"/>
      <c r="AE43" s="13"/>
    </row>
    <row r="44" spans="1:31" ht="20.2" customHeight="1" x14ac:dyDescent="0.3">
      <c r="A44" s="14"/>
      <c r="B44" s="15"/>
      <c r="C44" s="36"/>
      <c r="D44" s="16"/>
      <c r="E44" s="17"/>
      <c r="F44" s="32"/>
      <c r="G44" s="25"/>
      <c r="H44" s="18"/>
      <c r="I44" s="7"/>
      <c r="J44" s="19"/>
      <c r="K44" s="20"/>
      <c r="L44" s="31"/>
      <c r="M44" s="31"/>
      <c r="N44" s="31"/>
      <c r="O44" s="31"/>
      <c r="P44" s="9"/>
      <c r="Q44" s="16"/>
      <c r="R44" s="16"/>
      <c r="S44" s="22"/>
      <c r="T44" s="22"/>
      <c r="U44" s="4"/>
      <c r="V44" s="13"/>
      <c r="W44" s="37"/>
      <c r="X44" s="13"/>
      <c r="Y44" s="13"/>
      <c r="Z44" s="13"/>
      <c r="AA44" s="13"/>
      <c r="AB44" s="13"/>
      <c r="AC44" s="13"/>
      <c r="AD44" s="13"/>
      <c r="AE44" s="13"/>
    </row>
    <row r="45" spans="1:31" ht="20.2" customHeight="1" x14ac:dyDescent="0.3">
      <c r="A45" s="14"/>
      <c r="B45" s="15"/>
      <c r="C45" s="16"/>
      <c r="D45" s="16"/>
      <c r="E45" s="17"/>
      <c r="F45" s="32"/>
      <c r="G45" s="25"/>
      <c r="H45" s="18"/>
      <c r="I45" s="7"/>
      <c r="J45" s="19"/>
      <c r="K45" s="20"/>
      <c r="L45" s="31"/>
      <c r="M45" s="31"/>
      <c r="N45" s="31"/>
      <c r="O45" s="31"/>
      <c r="P45" s="9"/>
      <c r="Q45" s="16"/>
      <c r="R45" s="16"/>
      <c r="S45" s="22"/>
      <c r="T45" s="22"/>
      <c r="U45" s="4"/>
      <c r="V45" s="13"/>
      <c r="W45" s="16"/>
      <c r="X45" s="13"/>
      <c r="Y45" s="13"/>
      <c r="Z45" s="13"/>
      <c r="AA45" s="13"/>
      <c r="AB45" s="13"/>
      <c r="AC45" s="13"/>
      <c r="AD45" s="13"/>
      <c r="AE45" s="13"/>
    </row>
    <row r="46" spans="1:31" ht="20.2" customHeight="1" x14ac:dyDescent="0.3">
      <c r="A46" s="14"/>
      <c r="B46" s="15"/>
      <c r="C46" s="16"/>
      <c r="D46" s="16"/>
      <c r="E46" s="17"/>
      <c r="F46" s="32"/>
      <c r="G46" s="25"/>
      <c r="H46" s="18"/>
      <c r="I46" s="7"/>
      <c r="J46" s="19"/>
      <c r="K46" s="20"/>
      <c r="L46" s="31"/>
      <c r="M46" s="31"/>
      <c r="N46" s="31"/>
      <c r="O46" s="31"/>
      <c r="P46" s="9"/>
      <c r="Q46" s="16"/>
      <c r="R46" s="16"/>
      <c r="S46" s="22"/>
      <c r="T46" s="22"/>
      <c r="U46" s="4"/>
      <c r="V46" s="13"/>
      <c r="W46" s="16"/>
      <c r="X46" s="13"/>
      <c r="Y46" s="13"/>
      <c r="Z46" s="13"/>
      <c r="AA46" s="13"/>
      <c r="AB46" s="13"/>
      <c r="AC46" s="13"/>
      <c r="AD46" s="13"/>
      <c r="AE46" s="13"/>
    </row>
    <row r="47" spans="1:31" ht="20.2" customHeight="1" x14ac:dyDescent="0.3">
      <c r="A47" s="14"/>
      <c r="B47" s="15"/>
      <c r="C47" s="16"/>
      <c r="D47" s="16"/>
      <c r="E47" s="17"/>
      <c r="F47" s="32"/>
      <c r="G47" s="25"/>
      <c r="H47" s="18"/>
      <c r="I47" s="7"/>
      <c r="J47" s="19"/>
      <c r="K47" s="20"/>
      <c r="L47" s="31"/>
      <c r="M47" s="31"/>
      <c r="N47" s="31"/>
      <c r="O47" s="31"/>
      <c r="P47" s="9"/>
      <c r="Q47" s="16"/>
      <c r="R47" s="16"/>
      <c r="S47" s="22"/>
      <c r="T47" s="22"/>
      <c r="U47" s="4"/>
      <c r="V47" s="4"/>
      <c r="W47" s="16"/>
      <c r="X47" s="13"/>
      <c r="Y47" s="13"/>
      <c r="Z47" s="13"/>
      <c r="AA47" s="13"/>
      <c r="AB47" s="13"/>
      <c r="AC47" s="13"/>
      <c r="AD47" s="13"/>
      <c r="AE47" s="13"/>
    </row>
    <row r="48" spans="1:31" ht="20.2" customHeight="1" x14ac:dyDescent="0.3">
      <c r="A48" s="14"/>
      <c r="B48" s="15"/>
      <c r="C48" s="16"/>
      <c r="D48" s="16"/>
      <c r="E48" s="17"/>
      <c r="F48" s="32"/>
      <c r="G48" s="25"/>
      <c r="H48" s="18"/>
      <c r="I48" s="7"/>
      <c r="J48" s="19"/>
      <c r="K48" s="20"/>
      <c r="L48" s="31"/>
      <c r="M48" s="31"/>
      <c r="N48" s="31"/>
      <c r="O48" s="31"/>
      <c r="P48" s="9"/>
      <c r="Q48" s="16"/>
      <c r="R48" s="16"/>
      <c r="S48" s="22"/>
      <c r="T48" s="22"/>
      <c r="U48" s="4"/>
      <c r="V48" s="4"/>
      <c r="W48" s="16"/>
      <c r="X48" s="13"/>
      <c r="Y48" s="13"/>
      <c r="Z48" s="13"/>
      <c r="AA48" s="13"/>
      <c r="AB48" s="13"/>
      <c r="AC48" s="13"/>
      <c r="AD48" s="13"/>
      <c r="AE48" s="13"/>
    </row>
    <row r="49" spans="1:31" ht="20.2" customHeight="1" x14ac:dyDescent="0.3">
      <c r="A49" s="14"/>
      <c r="B49" s="15"/>
      <c r="C49" s="16"/>
      <c r="D49" s="16"/>
      <c r="E49" s="17"/>
      <c r="F49" s="32"/>
      <c r="G49" s="25"/>
      <c r="H49" s="18"/>
      <c r="I49" s="7"/>
      <c r="J49" s="19"/>
      <c r="K49" s="20"/>
      <c r="L49" s="31"/>
      <c r="M49" s="31"/>
      <c r="N49" s="31"/>
      <c r="O49" s="31"/>
      <c r="P49" s="9"/>
      <c r="Q49" s="16"/>
      <c r="R49" s="16"/>
      <c r="S49" s="22"/>
      <c r="T49" s="22"/>
      <c r="U49" s="4"/>
      <c r="V49" s="4"/>
      <c r="W49" s="38"/>
      <c r="X49" s="13"/>
      <c r="Y49" s="13"/>
      <c r="Z49" s="13"/>
      <c r="AA49" s="13"/>
      <c r="AB49" s="13"/>
      <c r="AC49" s="13"/>
      <c r="AD49" s="13"/>
      <c r="AE49" s="13"/>
    </row>
    <row r="50" spans="1:31" ht="20.2" customHeight="1" x14ac:dyDescent="0.3">
      <c r="A50" s="14"/>
      <c r="B50" s="15"/>
      <c r="C50" s="16"/>
      <c r="D50" s="16"/>
      <c r="E50" s="17"/>
      <c r="F50" s="32"/>
      <c r="G50" s="25"/>
      <c r="H50" s="18"/>
      <c r="I50" s="7"/>
      <c r="J50" s="19"/>
      <c r="K50" s="20"/>
      <c r="L50" s="31"/>
      <c r="M50" s="31"/>
      <c r="N50" s="31"/>
      <c r="O50" s="31"/>
      <c r="P50" s="9"/>
      <c r="Q50" s="16"/>
      <c r="R50" s="16"/>
      <c r="S50" s="22"/>
      <c r="T50" s="22"/>
      <c r="U50" s="4"/>
      <c r="V50" s="4"/>
      <c r="W50" s="38"/>
      <c r="X50" s="13"/>
      <c r="Y50" s="13"/>
      <c r="Z50" s="13"/>
      <c r="AA50" s="13"/>
      <c r="AB50" s="13"/>
      <c r="AC50" s="13"/>
      <c r="AD50" s="13"/>
      <c r="AE50" s="13"/>
    </row>
    <row r="51" spans="1:31" ht="20.2" customHeight="1" x14ac:dyDescent="0.3">
      <c r="A51" s="14"/>
      <c r="B51" s="15"/>
      <c r="C51" s="16"/>
      <c r="D51" s="16"/>
      <c r="E51" s="17"/>
      <c r="F51" s="32"/>
      <c r="G51" s="25"/>
      <c r="H51" s="18"/>
      <c r="I51" s="7"/>
      <c r="J51" s="19"/>
      <c r="K51" s="20"/>
      <c r="L51" s="31"/>
      <c r="M51" s="31"/>
      <c r="N51" s="31"/>
      <c r="O51" s="31"/>
      <c r="P51" s="9"/>
      <c r="Q51" s="16"/>
      <c r="R51" s="16"/>
      <c r="S51" s="22"/>
      <c r="T51" s="22"/>
      <c r="U51" s="4"/>
      <c r="V51" s="4"/>
      <c r="W51" s="16"/>
      <c r="X51" s="13"/>
      <c r="Y51" s="13"/>
      <c r="Z51" s="13"/>
      <c r="AA51" s="13"/>
      <c r="AB51" s="13"/>
      <c r="AC51" s="13"/>
      <c r="AD51" s="13"/>
      <c r="AE51" s="13"/>
    </row>
    <row r="52" spans="1:31" ht="20.2" customHeight="1" x14ac:dyDescent="0.3">
      <c r="A52" s="14"/>
      <c r="B52" s="15"/>
      <c r="C52" s="16"/>
      <c r="D52" s="16"/>
      <c r="E52" s="17"/>
      <c r="F52" s="32"/>
      <c r="G52" s="25"/>
      <c r="H52" s="18"/>
      <c r="I52" s="7"/>
      <c r="J52" s="19"/>
      <c r="K52" s="20"/>
      <c r="L52" s="31"/>
      <c r="M52" s="31"/>
      <c r="N52" s="31"/>
      <c r="O52" s="31"/>
      <c r="P52" s="9"/>
      <c r="Q52" s="16"/>
      <c r="R52" s="16"/>
      <c r="S52" s="22"/>
      <c r="T52" s="22"/>
      <c r="U52" s="4"/>
      <c r="V52" s="4"/>
      <c r="W52" s="16"/>
      <c r="X52" s="13"/>
      <c r="Y52" s="13"/>
      <c r="Z52" s="13"/>
      <c r="AA52" s="13"/>
      <c r="AB52" s="13"/>
      <c r="AC52" s="13"/>
      <c r="AD52" s="13"/>
      <c r="AE52" s="13"/>
    </row>
    <row r="53" spans="1:31" ht="20.2" customHeight="1" x14ac:dyDescent="0.3">
      <c r="A53" s="14"/>
      <c r="B53" s="15"/>
      <c r="C53" s="16"/>
      <c r="D53" s="16"/>
      <c r="E53" s="17"/>
      <c r="F53" s="32"/>
      <c r="G53" s="25"/>
      <c r="H53" s="18"/>
      <c r="I53" s="7"/>
      <c r="J53" s="19"/>
      <c r="K53" s="20"/>
      <c r="L53" s="31"/>
      <c r="M53" s="31"/>
      <c r="N53" s="31"/>
      <c r="O53" s="31"/>
      <c r="P53" s="9"/>
      <c r="Q53" s="16"/>
      <c r="R53" s="16"/>
      <c r="S53" s="22"/>
      <c r="T53" s="22"/>
      <c r="U53" s="4"/>
      <c r="V53" s="4"/>
      <c r="W53" s="38"/>
      <c r="X53" s="13"/>
      <c r="Y53" s="13"/>
      <c r="Z53" s="13"/>
      <c r="AA53" s="13"/>
      <c r="AB53" s="13"/>
      <c r="AC53" s="13"/>
      <c r="AD53" s="13"/>
      <c r="AE53" s="13"/>
    </row>
    <row r="54" spans="1:31" ht="20.2" customHeight="1" x14ac:dyDescent="0.3">
      <c r="A54" s="14"/>
      <c r="B54" s="15"/>
      <c r="C54" s="16"/>
      <c r="D54" s="16"/>
      <c r="E54" s="17"/>
      <c r="F54" s="32"/>
      <c r="G54" s="25"/>
      <c r="H54" s="18"/>
      <c r="I54" s="7"/>
      <c r="J54" s="19"/>
      <c r="K54" s="20"/>
      <c r="L54" s="31"/>
      <c r="M54" s="31"/>
      <c r="N54" s="31"/>
      <c r="O54" s="31"/>
      <c r="P54" s="9"/>
      <c r="Q54" s="16"/>
      <c r="R54" s="16"/>
      <c r="S54" s="22"/>
      <c r="T54" s="22"/>
      <c r="U54" s="4"/>
      <c r="V54" s="4"/>
      <c r="W54" s="16"/>
      <c r="X54" s="13"/>
      <c r="Y54" s="13"/>
      <c r="Z54" s="13"/>
      <c r="AA54" s="13"/>
      <c r="AB54" s="13"/>
      <c r="AC54" s="13"/>
      <c r="AD54" s="13"/>
      <c r="AE54" s="13"/>
    </row>
    <row r="55" spans="1:31" ht="20.2" customHeight="1" x14ac:dyDescent="0.3">
      <c r="A55" s="14"/>
      <c r="B55" s="15"/>
      <c r="C55" s="16"/>
      <c r="D55" s="16"/>
      <c r="E55" s="17"/>
      <c r="F55" s="32"/>
      <c r="G55" s="25"/>
      <c r="H55" s="18"/>
      <c r="I55" s="7"/>
      <c r="J55" s="19"/>
      <c r="K55" s="20"/>
      <c r="L55" s="31"/>
      <c r="M55" s="31"/>
      <c r="N55" s="31"/>
      <c r="O55" s="31"/>
      <c r="P55" s="9"/>
      <c r="Q55" s="16"/>
      <c r="R55" s="16"/>
      <c r="S55" s="22"/>
      <c r="T55" s="22"/>
      <c r="U55" s="4"/>
      <c r="V55" s="4"/>
      <c r="W55" s="16"/>
      <c r="X55" s="13"/>
      <c r="Y55" s="13"/>
      <c r="Z55" s="13"/>
      <c r="AA55" s="13"/>
      <c r="AB55" s="13"/>
      <c r="AC55" s="13"/>
      <c r="AD55" s="13"/>
      <c r="AE55" s="13"/>
    </row>
    <row r="56" spans="1:31" ht="20.2" customHeight="1" x14ac:dyDescent="0.3">
      <c r="A56" s="14"/>
      <c r="B56" s="15"/>
      <c r="C56" s="16"/>
      <c r="D56" s="16"/>
      <c r="E56" s="17"/>
      <c r="F56" s="32"/>
      <c r="G56" s="25"/>
      <c r="H56" s="18"/>
      <c r="I56" s="7"/>
      <c r="J56" s="19"/>
      <c r="K56" s="20"/>
      <c r="L56" s="31"/>
      <c r="M56" s="31"/>
      <c r="N56" s="31"/>
      <c r="O56" s="31"/>
      <c r="P56" s="9"/>
      <c r="Q56" s="16"/>
      <c r="R56" s="16"/>
      <c r="S56" s="22"/>
      <c r="T56" s="22"/>
      <c r="U56" s="4"/>
      <c r="V56" s="4"/>
      <c r="W56" s="16"/>
      <c r="X56" s="13"/>
      <c r="Y56" s="13"/>
      <c r="Z56" s="13"/>
      <c r="AA56" s="13"/>
      <c r="AB56" s="13"/>
      <c r="AC56" s="13"/>
      <c r="AD56" s="13"/>
      <c r="AE56" s="13"/>
    </row>
    <row r="57" spans="1:31" ht="20.2" customHeight="1" x14ac:dyDescent="0.3">
      <c r="A57" s="14"/>
      <c r="B57" s="15"/>
      <c r="C57" s="16"/>
      <c r="D57" s="16"/>
      <c r="E57" s="17"/>
      <c r="F57" s="32"/>
      <c r="G57" s="25"/>
      <c r="H57" s="18"/>
      <c r="I57" s="7"/>
      <c r="J57" s="19"/>
      <c r="K57" s="20"/>
      <c r="L57" s="31"/>
      <c r="M57" s="31"/>
      <c r="N57" s="31"/>
      <c r="O57" s="31"/>
      <c r="P57" s="9"/>
      <c r="Q57" s="16"/>
      <c r="R57" s="16"/>
      <c r="S57" s="22"/>
      <c r="T57" s="22"/>
      <c r="U57" s="4"/>
      <c r="V57" s="4"/>
      <c r="W57" s="16"/>
      <c r="X57" s="13"/>
      <c r="Y57" s="13"/>
      <c r="Z57" s="13"/>
      <c r="AA57" s="13"/>
      <c r="AB57" s="13"/>
      <c r="AC57" s="13"/>
      <c r="AD57" s="13"/>
      <c r="AE57" s="13"/>
    </row>
    <row r="58" spans="1:31" ht="20.2" customHeight="1" x14ac:dyDescent="0.3">
      <c r="A58" s="14"/>
      <c r="B58" s="15"/>
      <c r="C58" s="16"/>
      <c r="D58" s="16"/>
      <c r="E58" s="17"/>
      <c r="F58" s="32"/>
      <c r="G58" s="25"/>
      <c r="H58" s="18"/>
      <c r="I58" s="7"/>
      <c r="J58" s="19"/>
      <c r="K58" s="20"/>
      <c r="L58" s="31"/>
      <c r="M58" s="31"/>
      <c r="N58" s="31"/>
      <c r="O58" s="31"/>
      <c r="P58" s="9"/>
      <c r="Q58" s="16"/>
      <c r="R58" s="16"/>
      <c r="S58" s="22"/>
      <c r="T58" s="22"/>
      <c r="U58" s="4"/>
      <c r="V58" s="4"/>
      <c r="W58" s="16"/>
      <c r="X58" s="13"/>
      <c r="Y58" s="13"/>
      <c r="Z58" s="13"/>
      <c r="AA58" s="13"/>
      <c r="AB58" s="13"/>
      <c r="AC58" s="13"/>
      <c r="AD58" s="13"/>
      <c r="AE58" s="13"/>
    </row>
    <row r="59" spans="1:31" ht="20.2" customHeight="1" x14ac:dyDescent="0.3">
      <c r="A59" s="14"/>
      <c r="B59" s="15"/>
      <c r="C59" s="16"/>
      <c r="D59" s="16"/>
      <c r="E59" s="17"/>
      <c r="F59" s="32"/>
      <c r="G59" s="25"/>
      <c r="H59" s="18"/>
      <c r="I59" s="7"/>
      <c r="J59" s="19"/>
      <c r="K59" s="20"/>
      <c r="L59" s="31"/>
      <c r="M59" s="31"/>
      <c r="N59" s="31"/>
      <c r="O59" s="31"/>
      <c r="P59" s="9"/>
      <c r="Q59" s="16"/>
      <c r="R59" s="16"/>
      <c r="S59" s="22"/>
      <c r="T59" s="22"/>
      <c r="U59" s="4"/>
      <c r="V59" s="4"/>
      <c r="W59" s="16"/>
      <c r="X59" s="13"/>
      <c r="Y59" s="13"/>
      <c r="Z59" s="13"/>
      <c r="AA59" s="13"/>
      <c r="AB59" s="13"/>
      <c r="AC59" s="13"/>
      <c r="AD59" s="13"/>
      <c r="AE59" s="13"/>
    </row>
    <row r="60" spans="1:31" ht="20.2" customHeight="1" x14ac:dyDescent="0.3">
      <c r="A60" s="14"/>
      <c r="B60" s="15"/>
      <c r="C60" s="16"/>
      <c r="D60" s="16"/>
      <c r="E60" s="17"/>
      <c r="F60" s="32"/>
      <c r="G60" s="25"/>
      <c r="H60" s="18"/>
      <c r="I60" s="7"/>
      <c r="J60" s="19"/>
      <c r="K60" s="20"/>
      <c r="L60" s="31"/>
      <c r="M60" s="31"/>
      <c r="N60" s="31"/>
      <c r="O60" s="31"/>
      <c r="P60" s="9"/>
      <c r="Q60" s="16"/>
      <c r="R60" s="16"/>
      <c r="S60" s="22"/>
      <c r="T60" s="22"/>
      <c r="U60" s="4"/>
      <c r="V60" s="4"/>
      <c r="W60" s="16"/>
      <c r="X60" s="13"/>
      <c r="Y60" s="13"/>
      <c r="Z60" s="13"/>
      <c r="AA60" s="13"/>
      <c r="AB60" s="13"/>
      <c r="AC60" s="13"/>
      <c r="AD60" s="13"/>
      <c r="AE60" s="13"/>
    </row>
    <row r="61" spans="1:31" ht="20.2" customHeight="1" x14ac:dyDescent="0.3">
      <c r="A61" s="14"/>
      <c r="B61" s="15"/>
      <c r="C61" s="16"/>
      <c r="D61" s="16"/>
      <c r="E61" s="17"/>
      <c r="F61" s="32"/>
      <c r="G61" s="25"/>
      <c r="H61" s="18"/>
      <c r="I61" s="7"/>
      <c r="J61" s="19"/>
      <c r="K61" s="20"/>
      <c r="L61" s="31"/>
      <c r="M61" s="31"/>
      <c r="N61" s="31"/>
      <c r="O61" s="31"/>
      <c r="P61" s="9"/>
      <c r="Q61" s="16"/>
      <c r="R61" s="16"/>
      <c r="S61" s="22"/>
      <c r="T61" s="22"/>
      <c r="U61" s="4"/>
      <c r="V61" s="4"/>
      <c r="W61" s="16"/>
      <c r="X61" s="13"/>
      <c r="Y61" s="13"/>
      <c r="Z61" s="13"/>
      <c r="AA61" s="13"/>
      <c r="AB61" s="13"/>
      <c r="AC61" s="13"/>
      <c r="AD61" s="13"/>
      <c r="AE61" s="13"/>
    </row>
    <row r="62" spans="1:31" ht="20.2" customHeight="1" x14ac:dyDescent="0.3">
      <c r="A62" s="14"/>
      <c r="B62" s="15"/>
      <c r="C62" s="16"/>
      <c r="D62" s="16"/>
      <c r="E62" s="17"/>
      <c r="F62" s="32"/>
      <c r="G62" s="25"/>
      <c r="H62" s="18"/>
      <c r="I62" s="7"/>
      <c r="J62" s="19"/>
      <c r="K62" s="20"/>
      <c r="L62" s="31"/>
      <c r="M62" s="31"/>
      <c r="N62" s="31"/>
      <c r="O62" s="31"/>
      <c r="P62" s="9"/>
      <c r="Q62" s="16"/>
      <c r="R62" s="16"/>
      <c r="S62" s="22"/>
      <c r="T62" s="22"/>
      <c r="U62" s="4"/>
      <c r="V62" s="4"/>
      <c r="W62" s="16"/>
      <c r="X62" s="13"/>
      <c r="Y62" s="13"/>
      <c r="Z62" s="13"/>
      <c r="AA62" s="13"/>
      <c r="AB62" s="13"/>
      <c r="AC62" s="13"/>
      <c r="AD62" s="13"/>
      <c r="AE62" s="13"/>
    </row>
    <row r="63" spans="1:31" ht="20.2" customHeight="1" x14ac:dyDescent="0.3">
      <c r="A63" s="14"/>
      <c r="B63" s="15"/>
      <c r="C63" s="16"/>
      <c r="D63" s="16"/>
      <c r="E63" s="17"/>
      <c r="F63" s="32"/>
      <c r="G63" s="25"/>
      <c r="H63" s="18"/>
      <c r="I63" s="7"/>
      <c r="J63" s="19"/>
      <c r="K63" s="20"/>
      <c r="L63" s="31"/>
      <c r="M63" s="31"/>
      <c r="N63" s="31"/>
      <c r="O63" s="31"/>
      <c r="P63" s="9"/>
      <c r="Q63" s="16"/>
      <c r="R63" s="16"/>
      <c r="S63" s="22"/>
      <c r="T63" s="22"/>
      <c r="U63" s="4"/>
      <c r="V63" s="4"/>
      <c r="W63" s="16"/>
      <c r="X63" s="13"/>
      <c r="Y63" s="13"/>
      <c r="Z63" s="13"/>
      <c r="AA63" s="13"/>
      <c r="AB63" s="13"/>
      <c r="AC63" s="13"/>
      <c r="AD63" s="13"/>
      <c r="AE63" s="13"/>
    </row>
    <row r="64" spans="1:31" ht="20.2" customHeight="1" x14ac:dyDescent="0.3">
      <c r="A64" s="14"/>
      <c r="B64" s="15"/>
      <c r="C64" s="16"/>
      <c r="D64" s="16"/>
      <c r="E64" s="17"/>
      <c r="F64" s="32"/>
      <c r="G64" s="25"/>
      <c r="H64" s="18"/>
      <c r="I64" s="7"/>
      <c r="J64" s="19"/>
      <c r="K64" s="20"/>
      <c r="L64" s="31"/>
      <c r="M64" s="31"/>
      <c r="N64" s="31"/>
      <c r="O64" s="31"/>
      <c r="P64" s="9"/>
      <c r="Q64" s="16"/>
      <c r="R64" s="16"/>
      <c r="S64" s="22"/>
      <c r="T64" s="22"/>
      <c r="U64" s="4"/>
      <c r="V64" s="4"/>
      <c r="W64" s="16"/>
      <c r="X64" s="13"/>
      <c r="Y64" s="13"/>
      <c r="Z64" s="13"/>
      <c r="AA64" s="13"/>
      <c r="AB64" s="13"/>
      <c r="AC64" s="13"/>
      <c r="AD64" s="13"/>
      <c r="AE64" s="13"/>
    </row>
    <row r="65" spans="1:31" ht="20.2" customHeight="1" x14ac:dyDescent="0.3">
      <c r="A65" s="14"/>
      <c r="B65" s="15"/>
      <c r="C65" s="16"/>
      <c r="D65" s="16"/>
      <c r="E65" s="17"/>
      <c r="F65" s="32"/>
      <c r="G65" s="25"/>
      <c r="H65" s="18"/>
      <c r="I65" s="7"/>
      <c r="J65" s="19"/>
      <c r="K65" s="20"/>
      <c r="L65" s="31"/>
      <c r="M65" s="31"/>
      <c r="N65" s="31"/>
      <c r="O65" s="31"/>
      <c r="P65" s="9"/>
      <c r="Q65" s="16"/>
      <c r="R65" s="16"/>
      <c r="S65" s="22"/>
      <c r="T65" s="22"/>
      <c r="U65" s="4"/>
      <c r="V65" s="4"/>
      <c r="W65" s="16"/>
      <c r="X65" s="13"/>
      <c r="Y65" s="13"/>
      <c r="Z65" s="13"/>
      <c r="AA65" s="13"/>
      <c r="AB65" s="13"/>
      <c r="AC65" s="13"/>
      <c r="AD65" s="13"/>
      <c r="AE65" s="13"/>
    </row>
    <row r="66" spans="1:31" ht="20.2" customHeight="1" x14ac:dyDescent="0.3">
      <c r="A66" s="14"/>
      <c r="B66" s="15"/>
      <c r="C66" s="16"/>
      <c r="D66" s="16"/>
      <c r="E66" s="17"/>
      <c r="F66" s="32"/>
      <c r="G66" s="25"/>
      <c r="H66" s="18"/>
      <c r="I66" s="7"/>
      <c r="J66" s="19"/>
      <c r="K66" s="20"/>
      <c r="L66" s="31"/>
      <c r="M66" s="31"/>
      <c r="N66" s="31"/>
      <c r="O66" s="31"/>
      <c r="P66" s="9"/>
      <c r="Q66" s="16"/>
      <c r="R66" s="16"/>
      <c r="S66" s="22"/>
      <c r="T66" s="22"/>
      <c r="U66" s="4"/>
      <c r="V66" s="4"/>
      <c r="W66" s="38"/>
      <c r="X66" s="13"/>
      <c r="Y66" s="13"/>
      <c r="Z66" s="13"/>
      <c r="AA66" s="13"/>
      <c r="AB66" s="13"/>
      <c r="AC66" s="13"/>
      <c r="AD66" s="13"/>
      <c r="AE66" s="13"/>
    </row>
    <row r="67" spans="1:31" ht="20.2" customHeight="1" x14ac:dyDescent="0.3">
      <c r="A67" s="14"/>
      <c r="B67" s="15"/>
      <c r="C67" s="16"/>
      <c r="D67" s="16"/>
      <c r="E67" s="17"/>
      <c r="F67" s="32"/>
      <c r="G67" s="25"/>
      <c r="H67" s="18"/>
      <c r="I67" s="7"/>
      <c r="J67" s="19"/>
      <c r="K67" s="20"/>
      <c r="L67" s="31"/>
      <c r="M67" s="31"/>
      <c r="N67" s="31"/>
      <c r="O67" s="31"/>
      <c r="P67" s="9"/>
      <c r="Q67" s="16"/>
      <c r="R67" s="16"/>
      <c r="S67" s="22"/>
      <c r="T67" s="22"/>
      <c r="U67" s="4"/>
      <c r="V67" s="4"/>
      <c r="W67" s="16"/>
      <c r="X67" s="13"/>
      <c r="Y67" s="13"/>
      <c r="Z67" s="13"/>
      <c r="AA67" s="13"/>
      <c r="AB67" s="13"/>
      <c r="AC67" s="13"/>
      <c r="AD67" s="13"/>
      <c r="AE67" s="13"/>
    </row>
    <row r="68" spans="1:31" ht="20.2" customHeight="1" x14ac:dyDescent="0.3">
      <c r="A68" s="14"/>
      <c r="B68" s="15"/>
      <c r="C68" s="16"/>
      <c r="D68" s="16"/>
      <c r="E68" s="17"/>
      <c r="F68" s="32"/>
      <c r="G68" s="25"/>
      <c r="H68" s="18"/>
      <c r="I68" s="7"/>
      <c r="J68" s="19"/>
      <c r="K68" s="20"/>
      <c r="L68" s="31"/>
      <c r="M68" s="31"/>
      <c r="N68" s="31"/>
      <c r="O68" s="31"/>
      <c r="P68" s="9"/>
      <c r="Q68" s="16"/>
      <c r="R68" s="16"/>
      <c r="S68" s="22"/>
      <c r="T68" s="22"/>
      <c r="U68" s="4"/>
      <c r="V68" s="4"/>
      <c r="W68" s="38"/>
      <c r="X68" s="13"/>
      <c r="Y68" s="13"/>
      <c r="Z68" s="13"/>
      <c r="AA68" s="13"/>
      <c r="AB68" s="13"/>
      <c r="AC68" s="13"/>
      <c r="AD68" s="13"/>
      <c r="AE68" s="13"/>
    </row>
    <row r="69" spans="1:31" ht="20.2" customHeight="1" x14ac:dyDescent="0.3">
      <c r="A69" s="14"/>
      <c r="B69" s="15"/>
      <c r="C69" s="16"/>
      <c r="D69" s="16"/>
      <c r="E69" s="17"/>
      <c r="F69" s="32"/>
      <c r="G69" s="25"/>
      <c r="H69" s="18"/>
      <c r="I69" s="7"/>
      <c r="J69" s="19"/>
      <c r="K69" s="20"/>
      <c r="L69" s="31"/>
      <c r="M69" s="31"/>
      <c r="N69" s="31"/>
      <c r="O69" s="31"/>
      <c r="P69" s="9"/>
      <c r="Q69" s="16"/>
      <c r="R69" s="16"/>
      <c r="S69" s="22"/>
      <c r="T69" s="22"/>
      <c r="U69" s="4"/>
      <c r="V69" s="4"/>
      <c r="W69" s="16"/>
      <c r="X69" s="13"/>
      <c r="Y69" s="13"/>
      <c r="Z69" s="13"/>
      <c r="AA69" s="13"/>
      <c r="AB69" s="13"/>
      <c r="AC69" s="13"/>
      <c r="AD69" s="13"/>
      <c r="AE69" s="13"/>
    </row>
    <row r="70" spans="1:31" ht="20.2" customHeight="1" x14ac:dyDescent="0.3">
      <c r="A70" s="14"/>
      <c r="B70" s="15"/>
      <c r="C70" s="16"/>
      <c r="D70" s="16"/>
      <c r="E70" s="17"/>
      <c r="F70" s="32"/>
      <c r="G70" s="25"/>
      <c r="H70" s="18"/>
      <c r="I70" s="7"/>
      <c r="J70" s="19"/>
      <c r="K70" s="20"/>
      <c r="L70" s="31"/>
      <c r="M70" s="31"/>
      <c r="N70" s="31"/>
      <c r="O70" s="31"/>
      <c r="P70" s="9"/>
      <c r="Q70" s="16"/>
      <c r="R70" s="16"/>
      <c r="S70" s="22"/>
      <c r="T70" s="22"/>
      <c r="U70" s="4"/>
      <c r="V70" s="4"/>
      <c r="W70" s="16"/>
      <c r="X70" s="13"/>
      <c r="Y70" s="13"/>
      <c r="Z70" s="13"/>
      <c r="AA70" s="13"/>
      <c r="AB70" s="13"/>
      <c r="AC70" s="13"/>
      <c r="AD70" s="13"/>
      <c r="AE70" s="13"/>
    </row>
    <row r="71" spans="1:31" ht="20.2" customHeight="1" x14ac:dyDescent="0.3">
      <c r="A71" s="14"/>
      <c r="B71" s="15"/>
      <c r="C71" s="16"/>
      <c r="D71" s="16"/>
      <c r="E71" s="17"/>
      <c r="F71" s="32"/>
      <c r="G71" s="25"/>
      <c r="H71" s="18"/>
      <c r="I71" s="7"/>
      <c r="J71" s="19"/>
      <c r="K71" s="20"/>
      <c r="L71" s="31"/>
      <c r="M71" s="31"/>
      <c r="N71" s="31"/>
      <c r="O71" s="31"/>
      <c r="P71" s="9"/>
      <c r="Q71" s="16"/>
      <c r="R71" s="16"/>
      <c r="S71" s="22"/>
      <c r="T71" s="22"/>
      <c r="U71" s="4"/>
      <c r="V71" s="4"/>
      <c r="W71" s="16"/>
      <c r="X71" s="13"/>
      <c r="Y71" s="13"/>
      <c r="Z71" s="13"/>
      <c r="AA71" s="13"/>
      <c r="AB71" s="13"/>
      <c r="AC71" s="13"/>
      <c r="AD71" s="13"/>
      <c r="AE71" s="13"/>
    </row>
    <row r="72" spans="1:31" ht="20.2" customHeight="1" x14ac:dyDescent="0.3">
      <c r="A72" s="14"/>
      <c r="B72" s="15"/>
      <c r="C72" s="16"/>
      <c r="D72" s="16"/>
      <c r="E72" s="17"/>
      <c r="F72" s="32"/>
      <c r="G72" s="25"/>
      <c r="H72" s="18"/>
      <c r="I72" s="7"/>
      <c r="J72" s="19"/>
      <c r="K72" s="20"/>
      <c r="L72" s="31"/>
      <c r="M72" s="31"/>
      <c r="N72" s="31"/>
      <c r="O72" s="31"/>
      <c r="P72" s="9"/>
      <c r="Q72" s="16"/>
      <c r="R72" s="16"/>
      <c r="S72" s="22"/>
      <c r="T72" s="22"/>
      <c r="U72" s="4"/>
      <c r="V72" s="4"/>
      <c r="W72" s="16"/>
      <c r="X72" s="13"/>
      <c r="Y72" s="13"/>
      <c r="Z72" s="13"/>
      <c r="AA72" s="13"/>
      <c r="AB72" s="13"/>
      <c r="AC72" s="13"/>
      <c r="AD72" s="13"/>
      <c r="AE72" s="13"/>
    </row>
    <row r="73" spans="1:31" ht="20.2" customHeight="1" x14ac:dyDescent="0.3">
      <c r="A73" s="14"/>
      <c r="B73" s="15"/>
      <c r="C73" s="16"/>
      <c r="D73" s="16"/>
      <c r="E73" s="17"/>
      <c r="F73" s="32"/>
      <c r="G73" s="25"/>
      <c r="H73" s="18"/>
      <c r="I73" s="7"/>
      <c r="J73" s="19"/>
      <c r="K73" s="20"/>
      <c r="L73" s="31"/>
      <c r="M73" s="31"/>
      <c r="N73" s="31"/>
      <c r="O73" s="31"/>
      <c r="P73" s="9"/>
      <c r="Q73" s="16"/>
      <c r="R73" s="16"/>
      <c r="S73" s="22"/>
      <c r="T73" s="22"/>
      <c r="U73" s="4"/>
      <c r="V73" s="4"/>
      <c r="W73" s="16"/>
      <c r="X73" s="13"/>
      <c r="Y73" s="13"/>
      <c r="Z73" s="13"/>
      <c r="AA73" s="13"/>
      <c r="AB73" s="13"/>
      <c r="AC73" s="13"/>
      <c r="AD73" s="13"/>
      <c r="AE73" s="13"/>
    </row>
    <row r="74" spans="1:31" ht="20.2" customHeight="1" x14ac:dyDescent="0.3">
      <c r="A74" s="14"/>
      <c r="B74" s="15"/>
      <c r="C74" s="16"/>
      <c r="D74" s="16"/>
      <c r="E74" s="17"/>
      <c r="F74" s="32"/>
      <c r="G74" s="25"/>
      <c r="H74" s="18"/>
      <c r="I74" s="7"/>
      <c r="J74" s="19"/>
      <c r="K74" s="20"/>
      <c r="L74" s="31"/>
      <c r="M74" s="31"/>
      <c r="N74" s="31"/>
      <c r="O74" s="31"/>
      <c r="P74" s="9"/>
      <c r="Q74" s="16"/>
      <c r="R74" s="16"/>
      <c r="S74" s="22"/>
      <c r="T74" s="22"/>
      <c r="U74" s="4"/>
      <c r="V74" s="4"/>
      <c r="W74" s="16"/>
      <c r="X74" s="13"/>
      <c r="Y74" s="13"/>
      <c r="Z74" s="13"/>
      <c r="AA74" s="13"/>
      <c r="AB74" s="13"/>
      <c r="AC74" s="13"/>
      <c r="AD74" s="13"/>
      <c r="AE74" s="13"/>
    </row>
    <row r="75" spans="1:31" ht="20.2" customHeight="1" x14ac:dyDescent="0.3">
      <c r="A75" s="14"/>
      <c r="B75" s="15"/>
      <c r="C75" s="16"/>
      <c r="D75" s="16"/>
      <c r="E75" s="17"/>
      <c r="F75" s="32"/>
      <c r="G75" s="25"/>
      <c r="H75" s="18"/>
      <c r="I75" s="7"/>
      <c r="J75" s="19"/>
      <c r="K75" s="20"/>
      <c r="L75" s="31"/>
      <c r="M75" s="31"/>
      <c r="N75" s="31"/>
      <c r="O75" s="31"/>
      <c r="P75" s="9"/>
      <c r="Q75" s="16"/>
      <c r="R75" s="16"/>
      <c r="S75" s="22"/>
      <c r="T75" s="22"/>
      <c r="U75" s="4"/>
      <c r="V75" s="4"/>
      <c r="W75" s="16"/>
      <c r="X75" s="13"/>
      <c r="Y75" s="13"/>
      <c r="Z75" s="13"/>
      <c r="AA75" s="13"/>
      <c r="AB75" s="13"/>
      <c r="AC75" s="13"/>
      <c r="AD75" s="13"/>
      <c r="AE75" s="13"/>
    </row>
    <row r="76" spans="1:31" ht="20.2" customHeight="1" x14ac:dyDescent="0.3">
      <c r="A76" s="14"/>
      <c r="B76" s="15"/>
      <c r="C76" s="16"/>
      <c r="D76" s="16"/>
      <c r="E76" s="17"/>
      <c r="F76" s="32"/>
      <c r="G76" s="25"/>
      <c r="H76" s="18"/>
      <c r="I76" s="7"/>
      <c r="J76" s="19"/>
      <c r="K76" s="20"/>
      <c r="L76" s="31"/>
      <c r="M76" s="31"/>
      <c r="N76" s="31"/>
      <c r="O76" s="31"/>
      <c r="P76" s="9"/>
      <c r="Q76" s="16"/>
      <c r="R76" s="16"/>
      <c r="S76" s="22"/>
      <c r="T76" s="22"/>
      <c r="U76" s="4"/>
      <c r="V76" s="4"/>
      <c r="W76" s="16"/>
      <c r="X76" s="13"/>
      <c r="Y76" s="13"/>
      <c r="Z76" s="13"/>
      <c r="AA76" s="13"/>
      <c r="AB76" s="13"/>
      <c r="AC76" s="13"/>
      <c r="AD76" s="13"/>
      <c r="AE76" s="13"/>
    </row>
    <row r="77" spans="1:31" ht="20.2" customHeight="1" x14ac:dyDescent="0.3">
      <c r="A77" s="14"/>
      <c r="B77" s="15"/>
      <c r="C77" s="16"/>
      <c r="D77" s="16"/>
      <c r="E77" s="17"/>
      <c r="F77" s="32"/>
      <c r="G77" s="25"/>
      <c r="H77" s="18"/>
      <c r="I77" s="7"/>
      <c r="J77" s="19"/>
      <c r="K77" s="20"/>
      <c r="L77" s="31"/>
      <c r="M77" s="31"/>
      <c r="N77" s="31"/>
      <c r="O77" s="31"/>
      <c r="P77" s="9"/>
      <c r="Q77" s="16"/>
      <c r="R77" s="16"/>
      <c r="S77" s="22"/>
      <c r="T77" s="22"/>
      <c r="U77" s="4"/>
      <c r="V77" s="4"/>
      <c r="W77" s="16"/>
      <c r="X77" s="13"/>
      <c r="Y77" s="13"/>
      <c r="Z77" s="13"/>
      <c r="AA77" s="13"/>
      <c r="AB77" s="13"/>
      <c r="AC77" s="13"/>
      <c r="AD77" s="13"/>
      <c r="AE77" s="13"/>
    </row>
    <row r="78" spans="1:31" ht="20.2" customHeight="1" x14ac:dyDescent="0.3">
      <c r="A78" s="14"/>
      <c r="B78" s="15"/>
      <c r="C78" s="16"/>
      <c r="D78" s="16"/>
      <c r="E78" s="17"/>
      <c r="F78" s="32"/>
      <c r="G78" s="25"/>
      <c r="H78" s="18"/>
      <c r="I78" s="7"/>
      <c r="J78" s="19"/>
      <c r="K78" s="20"/>
      <c r="L78" s="31"/>
      <c r="M78" s="31"/>
      <c r="N78" s="31"/>
      <c r="O78" s="31"/>
      <c r="P78" s="9"/>
      <c r="Q78" s="16"/>
      <c r="R78" s="16"/>
      <c r="S78" s="22"/>
      <c r="T78" s="22"/>
      <c r="U78" s="4"/>
      <c r="V78" s="4"/>
      <c r="W78" s="16"/>
      <c r="X78" s="13"/>
      <c r="Y78" s="13"/>
      <c r="Z78" s="13"/>
      <c r="AA78" s="13"/>
      <c r="AB78" s="13"/>
      <c r="AC78" s="13"/>
      <c r="AD78" s="13"/>
      <c r="AE78" s="13"/>
    </row>
    <row r="79" spans="1:31" ht="20.2" customHeight="1" x14ac:dyDescent="0.3">
      <c r="A79" s="14"/>
      <c r="B79" s="15"/>
      <c r="C79" s="19"/>
      <c r="D79" s="19"/>
      <c r="E79" s="17"/>
      <c r="F79" s="32"/>
      <c r="G79" s="30"/>
      <c r="H79" s="18"/>
      <c r="I79" s="7"/>
      <c r="J79" s="19"/>
      <c r="K79" s="33"/>
      <c r="L79" s="31"/>
      <c r="M79" s="31"/>
      <c r="N79" s="31"/>
      <c r="O79" s="31"/>
      <c r="P79" s="34"/>
      <c r="Q79" s="16"/>
      <c r="R79" s="35"/>
      <c r="S79" s="22"/>
      <c r="T79" s="22"/>
      <c r="U79" s="4"/>
      <c r="V79" s="13"/>
      <c r="W79" s="23"/>
      <c r="X79" s="13"/>
      <c r="Y79" s="13"/>
      <c r="Z79" s="13"/>
      <c r="AA79" s="13"/>
      <c r="AB79" s="13"/>
      <c r="AC79" s="13"/>
      <c r="AD79" s="13"/>
      <c r="AE79" s="13"/>
    </row>
    <row r="80" spans="1:31" ht="20.2" customHeight="1" x14ac:dyDescent="0.3">
      <c r="A80" s="14"/>
      <c r="B80" s="15"/>
      <c r="C80" s="19"/>
      <c r="D80" s="19"/>
      <c r="E80" s="17"/>
      <c r="F80" s="32"/>
      <c r="G80" s="30"/>
      <c r="H80" s="18"/>
      <c r="I80" s="7"/>
      <c r="J80" s="19"/>
      <c r="K80" s="33"/>
      <c r="L80" s="31"/>
      <c r="M80" s="31"/>
      <c r="N80" s="31"/>
      <c r="O80" s="31"/>
      <c r="P80" s="34"/>
      <c r="Q80" s="16"/>
      <c r="R80" s="35"/>
      <c r="S80" s="22"/>
      <c r="T80" s="22"/>
      <c r="U80" s="4"/>
      <c r="V80" s="13"/>
      <c r="W80" s="23"/>
      <c r="X80" s="13"/>
      <c r="Y80" s="13"/>
      <c r="Z80" s="13"/>
      <c r="AA80" s="13"/>
      <c r="AB80" s="13"/>
      <c r="AC80" s="13"/>
      <c r="AD80" s="13"/>
      <c r="AE80" s="13"/>
    </row>
    <row r="81" spans="1:31" ht="20.2" customHeight="1" x14ac:dyDescent="0.3">
      <c r="A81" s="14"/>
      <c r="B81" s="41"/>
      <c r="C81" s="31"/>
      <c r="D81" s="31"/>
      <c r="E81" s="31"/>
      <c r="F81" s="32"/>
      <c r="G81" s="42"/>
      <c r="H81" s="18" t="str">
        <f>IFERROR(VLOOKUP(G81,List2!$B$2:$C$100,2,FALSE), "Kerkali xodim topilmadi")</f>
        <v>Kerkali xodim topilmadi</v>
      </c>
      <c r="I81" s="7" t="str">
        <f>IFERROR(VLOOKUP(G81,List2!$B$2:$D$100,3,FALSE), "Kerkali BO'LIM topilmadi")</f>
        <v>Kerkali BO'LIM topilmadi</v>
      </c>
      <c r="J81" s="31"/>
      <c r="K81" s="43"/>
      <c r="L81" s="31"/>
      <c r="M81" s="31"/>
      <c r="N81" s="31"/>
      <c r="O81" s="31"/>
      <c r="P81" s="44"/>
      <c r="Q81" s="31"/>
      <c r="R81" s="45"/>
      <c r="S81" s="22"/>
      <c r="T81" s="22"/>
      <c r="U81" s="13"/>
      <c r="V81" s="13"/>
      <c r="W81" s="23"/>
      <c r="X81" s="13"/>
      <c r="Y81" s="13"/>
      <c r="Z81" s="13"/>
      <c r="AA81" s="13"/>
      <c r="AB81" s="13"/>
      <c r="AC81" s="13"/>
      <c r="AD81" s="13"/>
      <c r="AE81" s="13"/>
    </row>
    <row r="82" spans="1:31" ht="20.2" customHeight="1" x14ac:dyDescent="0.3">
      <c r="A82" s="14"/>
      <c r="B82" s="41"/>
      <c r="C82" s="31"/>
      <c r="D82" s="31"/>
      <c r="E82" s="31"/>
      <c r="F82" s="32"/>
      <c r="G82" s="42"/>
      <c r="H82" s="18" t="str">
        <f>IFERROR(VLOOKUP(G82,List2!$B$2:$C$100,2,FALSE), "Kerkali xodim topilmadi")</f>
        <v>Kerkali xodim topilmadi</v>
      </c>
      <c r="I82" s="7" t="str">
        <f>IFERROR(VLOOKUP(G82,List2!$B$2:$D$100,3,FALSE), "Kerkali BO'LIM topilmadi")</f>
        <v>Kerkali BO'LIM topilmadi</v>
      </c>
      <c r="J82" s="31"/>
      <c r="K82" s="43"/>
      <c r="L82" s="31"/>
      <c r="M82" s="31"/>
      <c r="N82" s="31"/>
      <c r="O82" s="31"/>
      <c r="P82" s="44"/>
      <c r="Q82" s="31"/>
      <c r="R82" s="45"/>
      <c r="S82" s="22"/>
      <c r="T82" s="22"/>
      <c r="U82" s="13"/>
      <c r="V82" s="13"/>
      <c r="W82" s="23"/>
      <c r="X82" s="13"/>
      <c r="Y82" s="13"/>
      <c r="Z82" s="13"/>
      <c r="AA82" s="13"/>
      <c r="AB82" s="13"/>
      <c r="AC82" s="13"/>
      <c r="AD82" s="13"/>
      <c r="AE82" s="13"/>
    </row>
    <row r="83" spans="1:31" ht="20.2" customHeight="1" x14ac:dyDescent="0.3">
      <c r="A83" s="14"/>
      <c r="B83" s="41"/>
      <c r="C83" s="31"/>
      <c r="D83" s="31"/>
      <c r="E83" s="31"/>
      <c r="F83" s="32"/>
      <c r="G83" s="42"/>
      <c r="H83" s="18" t="str">
        <f>IFERROR(VLOOKUP(G83,List2!$B$2:$C$100,2,FALSE), "Kerkali xodim topilmadi")</f>
        <v>Kerkali xodim topilmadi</v>
      </c>
      <c r="I83" s="7" t="str">
        <f>IFERROR(VLOOKUP(G83,List2!$B$2:$D$100,3,FALSE), "Kerkali BO'LIM topilmadi")</f>
        <v>Kerkali BO'LIM topilmadi</v>
      </c>
      <c r="J83" s="31"/>
      <c r="K83" s="43"/>
      <c r="L83" s="31"/>
      <c r="M83" s="31"/>
      <c r="N83" s="31"/>
      <c r="O83" s="31"/>
      <c r="P83" s="44"/>
      <c r="Q83" s="31"/>
      <c r="R83" s="45"/>
      <c r="S83" s="22"/>
      <c r="T83" s="22"/>
      <c r="U83" s="13"/>
      <c r="V83" s="13"/>
      <c r="W83" s="23"/>
      <c r="X83" s="13"/>
      <c r="Y83" s="13"/>
      <c r="Z83" s="13"/>
      <c r="AA83" s="13"/>
      <c r="AB83" s="13"/>
      <c r="AC83" s="13"/>
      <c r="AD83" s="13"/>
      <c r="AE83" s="13"/>
    </row>
    <row r="84" spans="1:31" ht="20.2" customHeight="1" x14ac:dyDescent="0.3">
      <c r="A84" s="14"/>
      <c r="B84" s="41"/>
      <c r="C84" s="31"/>
      <c r="D84" s="31"/>
      <c r="E84" s="31"/>
      <c r="F84" s="32"/>
      <c r="G84" s="42"/>
      <c r="H84" s="18" t="str">
        <f>IFERROR(VLOOKUP(G84,List2!$B$2:$C$100,2,FALSE), "Kerkali xodim topilmadi")</f>
        <v>Kerkali xodim topilmadi</v>
      </c>
      <c r="I84" s="7" t="str">
        <f>IFERROR(VLOOKUP(G84,List2!$B$2:$D$100,3,FALSE), "Kerkali BO'LIM topilmadi")</f>
        <v>Kerkali BO'LIM topilmadi</v>
      </c>
      <c r="J84" s="31"/>
      <c r="K84" s="43"/>
      <c r="L84" s="31"/>
      <c r="M84" s="31"/>
      <c r="N84" s="31"/>
      <c r="O84" s="31"/>
      <c r="P84" s="44"/>
      <c r="Q84" s="31"/>
      <c r="R84" s="45"/>
      <c r="S84" s="22"/>
      <c r="T84" s="22"/>
      <c r="U84" s="13"/>
      <c r="V84" s="13"/>
      <c r="W84" s="23"/>
      <c r="X84" s="13"/>
      <c r="Y84" s="13"/>
      <c r="Z84" s="13"/>
      <c r="AA84" s="13"/>
      <c r="AB84" s="13"/>
      <c r="AC84" s="13"/>
      <c r="AD84" s="13"/>
      <c r="AE84" s="13"/>
    </row>
    <row r="85" spans="1:31" ht="20.2" customHeight="1" x14ac:dyDescent="0.3">
      <c r="A85" s="14"/>
      <c r="B85" s="41"/>
      <c r="C85" s="31"/>
      <c r="D85" s="31"/>
      <c r="E85" s="31"/>
      <c r="F85" s="32"/>
      <c r="G85" s="42"/>
      <c r="H85" s="18" t="str">
        <f>IFERROR(VLOOKUP(G85,List2!$B$2:$C$100,2,FALSE), "Kerkali xodim topilmadi")</f>
        <v>Kerkali xodim topilmadi</v>
      </c>
      <c r="I85" s="7" t="str">
        <f>IFERROR(VLOOKUP(G85,List2!$B$2:$D$100,3,FALSE), "Kerkali BO'LIM topilmadi")</f>
        <v>Kerkali BO'LIM topilmadi</v>
      </c>
      <c r="J85" s="31"/>
      <c r="K85" s="43"/>
      <c r="L85" s="31"/>
      <c r="M85" s="31"/>
      <c r="N85" s="31"/>
      <c r="O85" s="31"/>
      <c r="P85" s="44"/>
      <c r="Q85" s="31"/>
      <c r="R85" s="45"/>
      <c r="S85" s="22"/>
      <c r="T85" s="22"/>
      <c r="U85" s="13"/>
      <c r="V85" s="13"/>
      <c r="W85" s="23"/>
      <c r="X85" s="13"/>
      <c r="Y85" s="13"/>
      <c r="Z85" s="13"/>
      <c r="AA85" s="13"/>
      <c r="AB85" s="13"/>
      <c r="AC85" s="13"/>
      <c r="AD85" s="13"/>
      <c r="AE85" s="13"/>
    </row>
    <row r="86" spans="1:31" ht="20.2" customHeight="1" x14ac:dyDescent="0.3">
      <c r="A86" s="14"/>
      <c r="B86" s="41"/>
      <c r="C86" s="31"/>
      <c r="D86" s="31"/>
      <c r="E86" s="31"/>
      <c r="F86" s="32"/>
      <c r="G86" s="42"/>
      <c r="H86" s="18" t="str">
        <f>IFERROR(VLOOKUP(G86,List2!$B$2:$C$100,2,FALSE), "Kerkali xodim topilmadi")</f>
        <v>Kerkali xodim topilmadi</v>
      </c>
      <c r="I86" s="7" t="str">
        <f>IFERROR(VLOOKUP(G86,List2!$B$2:$D$100,3,FALSE), "Kerkali BO'LIM topilmadi")</f>
        <v>Kerkali BO'LIM topilmadi</v>
      </c>
      <c r="J86" s="31"/>
      <c r="K86" s="43"/>
      <c r="L86" s="31"/>
      <c r="M86" s="31"/>
      <c r="N86" s="31"/>
      <c r="O86" s="31"/>
      <c r="P86" s="44"/>
      <c r="Q86" s="31"/>
      <c r="R86" s="45"/>
      <c r="S86" s="22"/>
      <c r="T86" s="22"/>
      <c r="U86" s="13"/>
      <c r="V86" s="13"/>
      <c r="W86" s="23"/>
      <c r="X86" s="13"/>
      <c r="Y86" s="13"/>
      <c r="Z86" s="13"/>
      <c r="AA86" s="13"/>
      <c r="AB86" s="13"/>
      <c r="AC86" s="13"/>
      <c r="AD86" s="13"/>
      <c r="AE86" s="13"/>
    </row>
    <row r="87" spans="1:31" ht="20.2" customHeight="1" x14ac:dyDescent="0.3">
      <c r="A87" s="14"/>
      <c r="B87" s="41"/>
      <c r="C87" s="31"/>
      <c r="D87" s="31"/>
      <c r="E87" s="31"/>
      <c r="F87" s="32"/>
      <c r="G87" s="42"/>
      <c r="H87" s="18" t="str">
        <f>IFERROR(VLOOKUP(G87,List2!$B$2:$C$100,2,FALSE), "Kerkali xodim topilmadi")</f>
        <v>Kerkali xodim topilmadi</v>
      </c>
      <c r="I87" s="7" t="str">
        <f>IFERROR(VLOOKUP(G87,List2!$B$2:$D$100,3,FALSE), "Kerkali BO'LIM topilmadi")</f>
        <v>Kerkali BO'LIM topilmadi</v>
      </c>
      <c r="J87" s="31"/>
      <c r="K87" s="43"/>
      <c r="L87" s="31"/>
      <c r="M87" s="31"/>
      <c r="N87" s="31"/>
      <c r="O87" s="31"/>
      <c r="P87" s="44"/>
      <c r="Q87" s="31"/>
      <c r="R87" s="45"/>
      <c r="S87" s="22"/>
      <c r="T87" s="22"/>
      <c r="U87" s="13"/>
      <c r="V87" s="13"/>
      <c r="W87" s="23"/>
      <c r="X87" s="13"/>
      <c r="Y87" s="13"/>
      <c r="Z87" s="13"/>
      <c r="AA87" s="13"/>
      <c r="AB87" s="13"/>
      <c r="AC87" s="13"/>
      <c r="AD87" s="13"/>
      <c r="AE87" s="13"/>
    </row>
    <row r="88" spans="1:31" ht="20.2" customHeight="1" x14ac:dyDescent="0.3">
      <c r="A88" s="14"/>
      <c r="B88" s="41"/>
      <c r="C88" s="31"/>
      <c r="D88" s="31"/>
      <c r="E88" s="31"/>
      <c r="F88" s="32"/>
      <c r="G88" s="42"/>
      <c r="H88" s="18" t="str">
        <f>IFERROR(VLOOKUP(G88,List2!$B$2:$C$100,2,FALSE), "Kerkali xodim topilmadi")</f>
        <v>Kerkali xodim topilmadi</v>
      </c>
      <c r="I88" s="7" t="str">
        <f>IFERROR(VLOOKUP(G88,List2!$B$2:$D$100,3,FALSE), "Kerkali BO'LIM topilmadi")</f>
        <v>Kerkali BO'LIM topilmadi</v>
      </c>
      <c r="J88" s="31"/>
      <c r="K88" s="43"/>
      <c r="L88" s="31"/>
      <c r="M88" s="31"/>
      <c r="N88" s="31"/>
      <c r="O88" s="31"/>
      <c r="P88" s="44"/>
      <c r="Q88" s="31"/>
      <c r="R88" s="45"/>
      <c r="S88" s="22"/>
      <c r="T88" s="22"/>
      <c r="U88" s="13"/>
      <c r="V88" s="13"/>
      <c r="W88" s="23"/>
      <c r="X88" s="13"/>
      <c r="Y88" s="13"/>
      <c r="Z88" s="13"/>
      <c r="AA88" s="13"/>
      <c r="AB88" s="13"/>
      <c r="AC88" s="13"/>
      <c r="AD88" s="13"/>
      <c r="AE88" s="13"/>
    </row>
    <row r="89" spans="1:31" ht="20.2" customHeight="1" x14ac:dyDescent="0.3">
      <c r="A89" s="14"/>
      <c r="B89" s="41"/>
      <c r="C89" s="31"/>
      <c r="D89" s="31"/>
      <c r="E89" s="31"/>
      <c r="F89" s="32"/>
      <c r="G89" s="42"/>
      <c r="H89" s="18" t="str">
        <f>IFERROR(VLOOKUP(G89,List2!$B$2:$C$100,2,FALSE), "Kerkali xodim topilmadi")</f>
        <v>Kerkali xodim topilmadi</v>
      </c>
      <c r="I89" s="7" t="str">
        <f>IFERROR(VLOOKUP(G89,List2!$B$2:$D$100,3,FALSE), "Kerkali BO'LIM topilmadi")</f>
        <v>Kerkali BO'LIM topilmadi</v>
      </c>
      <c r="J89" s="31"/>
      <c r="K89" s="43"/>
      <c r="L89" s="31"/>
      <c r="M89" s="31"/>
      <c r="N89" s="31"/>
      <c r="O89" s="31"/>
      <c r="P89" s="44"/>
      <c r="Q89" s="31"/>
      <c r="R89" s="45"/>
      <c r="S89" s="22"/>
      <c r="T89" s="22"/>
      <c r="U89" s="13"/>
      <c r="V89" s="13"/>
      <c r="W89" s="23"/>
      <c r="X89" s="13"/>
      <c r="Y89" s="13"/>
      <c r="Z89" s="13"/>
      <c r="AA89" s="13"/>
      <c r="AB89" s="13"/>
      <c r="AC89" s="13"/>
      <c r="AD89" s="13"/>
      <c r="AE89" s="13"/>
    </row>
    <row r="90" spans="1:31" ht="20.2" customHeight="1" x14ac:dyDescent="0.3">
      <c r="A90" s="14"/>
      <c r="B90" s="41"/>
      <c r="C90" s="31"/>
      <c r="D90" s="31"/>
      <c r="E90" s="31"/>
      <c r="F90" s="32"/>
      <c r="G90" s="42"/>
      <c r="H90" s="18" t="str">
        <f>IFERROR(VLOOKUP(G90,List2!$B$2:$C$100,2,FALSE), "Kerkali xodim topilmadi")</f>
        <v>Kerkali xodim topilmadi</v>
      </c>
      <c r="I90" s="7" t="str">
        <f>IFERROR(VLOOKUP(G90,List2!$B$2:$D$100,3,FALSE), "Kerkali BO'LIM topilmadi")</f>
        <v>Kerkali BO'LIM topilmadi</v>
      </c>
      <c r="J90" s="31"/>
      <c r="K90" s="43"/>
      <c r="L90" s="31"/>
      <c r="M90" s="31"/>
      <c r="N90" s="31"/>
      <c r="O90" s="31"/>
      <c r="P90" s="44"/>
      <c r="Q90" s="31"/>
      <c r="R90" s="45"/>
      <c r="S90" s="22"/>
      <c r="T90" s="22"/>
      <c r="U90" s="13"/>
      <c r="V90" s="13"/>
      <c r="W90" s="23"/>
      <c r="X90" s="13"/>
      <c r="Y90" s="13"/>
      <c r="Z90" s="13"/>
      <c r="AA90" s="13"/>
      <c r="AB90" s="13"/>
      <c r="AC90" s="13"/>
      <c r="AD90" s="13"/>
      <c r="AE90" s="13"/>
    </row>
    <row r="91" spans="1:31" ht="20.2" customHeight="1" x14ac:dyDescent="0.3">
      <c r="A91" s="14"/>
      <c r="B91" s="41"/>
      <c r="C91" s="31"/>
      <c r="D91" s="31"/>
      <c r="E91" s="31"/>
      <c r="F91" s="32"/>
      <c r="G91" s="42"/>
      <c r="H91" s="18" t="str">
        <f>IFERROR(VLOOKUP(G91,List2!$B$2:$C$100,2,FALSE), "Kerkali xodim topilmadi")</f>
        <v>Kerkali xodim topilmadi</v>
      </c>
      <c r="I91" s="7" t="str">
        <f>IFERROR(VLOOKUP(G91,List2!$B$2:$D$100,3,FALSE), "Kerkali BO'LIM topilmadi")</f>
        <v>Kerkali BO'LIM topilmadi</v>
      </c>
      <c r="J91" s="31"/>
      <c r="K91" s="43"/>
      <c r="L91" s="31"/>
      <c r="M91" s="31"/>
      <c r="N91" s="31"/>
      <c r="O91" s="31"/>
      <c r="P91" s="44"/>
      <c r="Q91" s="31"/>
      <c r="R91" s="45"/>
      <c r="S91" s="22"/>
      <c r="T91" s="22"/>
      <c r="U91" s="13"/>
      <c r="V91" s="13"/>
      <c r="W91" s="23"/>
      <c r="X91" s="13"/>
      <c r="Y91" s="13"/>
      <c r="Z91" s="13"/>
      <c r="AA91" s="13"/>
      <c r="AB91" s="13"/>
      <c r="AC91" s="13"/>
      <c r="AD91" s="13"/>
      <c r="AE91" s="13"/>
    </row>
    <row r="92" spans="1:31" ht="20.2" customHeight="1" x14ac:dyDescent="0.3">
      <c r="A92" s="14"/>
      <c r="B92" s="41"/>
      <c r="C92" s="31"/>
      <c r="D92" s="31"/>
      <c r="E92" s="31"/>
      <c r="F92" s="32"/>
      <c r="G92" s="42"/>
      <c r="H92" s="18" t="str">
        <f>IFERROR(VLOOKUP(G92,List2!$B$2:$C$100,2,FALSE), "Kerkali xodim topilmadi")</f>
        <v>Kerkali xodim topilmadi</v>
      </c>
      <c r="I92" s="7" t="str">
        <f>IFERROR(VLOOKUP(G92,List2!$B$2:$D$100,3,FALSE), "Kerkali BO'LIM topilmadi")</f>
        <v>Kerkali BO'LIM topilmadi</v>
      </c>
      <c r="J92" s="31"/>
      <c r="K92" s="43"/>
      <c r="L92" s="31"/>
      <c r="M92" s="31"/>
      <c r="N92" s="31"/>
      <c r="O92" s="31"/>
      <c r="P92" s="44"/>
      <c r="Q92" s="31"/>
      <c r="R92" s="45"/>
      <c r="S92" s="22"/>
      <c r="T92" s="22"/>
      <c r="U92" s="13"/>
      <c r="V92" s="13"/>
      <c r="W92" s="23"/>
      <c r="X92" s="13"/>
      <c r="Y92" s="13"/>
      <c r="Z92" s="13"/>
      <c r="AA92" s="13"/>
      <c r="AB92" s="13"/>
      <c r="AC92" s="13"/>
      <c r="AD92" s="13"/>
      <c r="AE92" s="13"/>
    </row>
    <row r="93" spans="1:31" ht="20.2" customHeight="1" x14ac:dyDescent="0.3">
      <c r="A93" s="14"/>
      <c r="B93" s="41"/>
      <c r="C93" s="31"/>
      <c r="D93" s="31"/>
      <c r="E93" s="31"/>
      <c r="F93" s="32"/>
      <c r="G93" s="42"/>
      <c r="H93" s="18" t="str">
        <f>IFERROR(VLOOKUP(G93,List2!$B$2:$C$100,2,FALSE), "Kerkali xodim topilmadi")</f>
        <v>Kerkali xodim topilmadi</v>
      </c>
      <c r="I93" s="7" t="str">
        <f>IFERROR(VLOOKUP(G93,List2!$B$2:$D$100,3,FALSE), "Kerkali BO'LIM topilmadi")</f>
        <v>Kerkali BO'LIM topilmadi</v>
      </c>
      <c r="J93" s="31"/>
      <c r="K93" s="43"/>
      <c r="L93" s="31"/>
      <c r="M93" s="31"/>
      <c r="N93" s="31"/>
      <c r="O93" s="31"/>
      <c r="P93" s="44"/>
      <c r="Q93" s="31"/>
      <c r="R93" s="45"/>
      <c r="S93" s="22"/>
      <c r="T93" s="22"/>
      <c r="U93" s="13"/>
      <c r="V93" s="13"/>
      <c r="W93" s="23"/>
      <c r="X93" s="13"/>
      <c r="Y93" s="13"/>
      <c r="Z93" s="13"/>
      <c r="AA93" s="13"/>
      <c r="AB93" s="13"/>
      <c r="AC93" s="13"/>
      <c r="AD93" s="13"/>
      <c r="AE93" s="13"/>
    </row>
    <row r="94" spans="1:31" ht="20.2" customHeight="1" x14ac:dyDescent="0.3">
      <c r="A94" s="14"/>
      <c r="B94" s="41"/>
      <c r="C94" s="31"/>
      <c r="D94" s="31"/>
      <c r="E94" s="31"/>
      <c r="F94" s="32"/>
      <c r="G94" s="42"/>
      <c r="H94" s="18" t="str">
        <f>IFERROR(VLOOKUP(G94,List2!$B$2:$C$100,2,FALSE), "Kerkali xodim topilmadi")</f>
        <v>Kerkali xodim topilmadi</v>
      </c>
      <c r="I94" s="7" t="str">
        <f>IFERROR(VLOOKUP(G94,List2!$B$2:$D$100,3,FALSE), "Kerkali BO'LIM topilmadi")</f>
        <v>Kerkali BO'LIM topilmadi</v>
      </c>
      <c r="J94" s="31"/>
      <c r="K94" s="43"/>
      <c r="L94" s="31"/>
      <c r="M94" s="31"/>
      <c r="N94" s="31"/>
      <c r="O94" s="31"/>
      <c r="P94" s="44"/>
      <c r="Q94" s="31"/>
      <c r="R94" s="45"/>
      <c r="S94" s="22"/>
      <c r="T94" s="22"/>
      <c r="U94" s="13"/>
      <c r="V94" s="13"/>
      <c r="W94" s="23"/>
      <c r="X94" s="13"/>
      <c r="Y94" s="13"/>
      <c r="Z94" s="13"/>
      <c r="AA94" s="13"/>
      <c r="AB94" s="13"/>
      <c r="AC94" s="13"/>
      <c r="AD94" s="13"/>
      <c r="AE94" s="13"/>
    </row>
    <row r="95" spans="1:31" ht="20.2" customHeight="1" x14ac:dyDescent="0.3">
      <c r="A95" s="14"/>
      <c r="B95" s="41"/>
      <c r="C95" s="31"/>
      <c r="D95" s="31"/>
      <c r="E95" s="31"/>
      <c r="F95" s="32"/>
      <c r="G95" s="42"/>
      <c r="H95" s="18" t="str">
        <f>IFERROR(VLOOKUP(G95,List2!$B$2:$C$100,2,FALSE), "Kerkali xodim topilmadi")</f>
        <v>Kerkali xodim topilmadi</v>
      </c>
      <c r="I95" s="7" t="str">
        <f>IFERROR(VLOOKUP(G95,List2!$B$2:$D$100,3,FALSE), "Kerkali BO'LIM topilmadi")</f>
        <v>Kerkali BO'LIM topilmadi</v>
      </c>
      <c r="J95" s="31"/>
      <c r="K95" s="43"/>
      <c r="L95" s="31"/>
      <c r="M95" s="31"/>
      <c r="N95" s="31"/>
      <c r="O95" s="31"/>
      <c r="P95" s="44"/>
      <c r="Q95" s="31"/>
      <c r="R95" s="45"/>
      <c r="S95" s="22"/>
      <c r="T95" s="22"/>
      <c r="U95" s="13"/>
      <c r="V95" s="13"/>
      <c r="W95" s="23"/>
      <c r="X95" s="13"/>
      <c r="Y95" s="13"/>
      <c r="Z95" s="13"/>
      <c r="AA95" s="13"/>
      <c r="AB95" s="13"/>
      <c r="AC95" s="13"/>
      <c r="AD95" s="13"/>
      <c r="AE95" s="13"/>
    </row>
    <row r="96" spans="1:31" ht="20.2" customHeight="1" x14ac:dyDescent="0.3">
      <c r="A96" s="14"/>
      <c r="B96" s="41"/>
      <c r="C96" s="31"/>
      <c r="D96" s="31"/>
      <c r="E96" s="31"/>
      <c r="F96" s="32"/>
      <c r="G96" s="42"/>
      <c r="H96" s="18" t="str">
        <f>IFERROR(VLOOKUP(G96,List2!$B$2:$C$100,2,FALSE), "Kerkali xodim topilmadi")</f>
        <v>Kerkali xodim topilmadi</v>
      </c>
      <c r="I96" s="7" t="str">
        <f>IFERROR(VLOOKUP(G96,List2!$B$2:$D$100,3,FALSE), "Kerkali BO'LIM topilmadi")</f>
        <v>Kerkali BO'LIM topilmadi</v>
      </c>
      <c r="J96" s="31"/>
      <c r="K96" s="43"/>
      <c r="L96" s="31"/>
      <c r="M96" s="31"/>
      <c r="N96" s="31"/>
      <c r="O96" s="31"/>
      <c r="P96" s="44"/>
      <c r="Q96" s="31"/>
      <c r="R96" s="45"/>
      <c r="S96" s="22"/>
      <c r="T96" s="22"/>
      <c r="U96" s="13"/>
      <c r="V96" s="13"/>
      <c r="W96" s="23"/>
      <c r="X96" s="13"/>
      <c r="Y96" s="13"/>
      <c r="Z96" s="13"/>
      <c r="AA96" s="13"/>
      <c r="AB96" s="13"/>
      <c r="AC96" s="13"/>
      <c r="AD96" s="13"/>
      <c r="AE96" s="13"/>
    </row>
    <row r="97" spans="1:31" ht="20.2" customHeight="1" x14ac:dyDescent="0.3">
      <c r="A97" s="14"/>
      <c r="B97" s="41"/>
      <c r="C97" s="31"/>
      <c r="D97" s="31"/>
      <c r="E97" s="31"/>
      <c r="F97" s="32"/>
      <c r="G97" s="42"/>
      <c r="H97" s="18" t="str">
        <f>IFERROR(VLOOKUP(G97,List2!$B$2:$C$100,2,FALSE), "Kerkali xodim topilmadi")</f>
        <v>Kerkali xodim topilmadi</v>
      </c>
      <c r="I97" s="7" t="str">
        <f>IFERROR(VLOOKUP(G97,List2!$B$2:$D$100,3,FALSE), "Kerkali BO'LIM topilmadi")</f>
        <v>Kerkali BO'LIM topilmadi</v>
      </c>
      <c r="J97" s="31"/>
      <c r="K97" s="43"/>
      <c r="L97" s="31"/>
      <c r="M97" s="31"/>
      <c r="N97" s="31"/>
      <c r="O97" s="31"/>
      <c r="P97" s="44"/>
      <c r="Q97" s="31"/>
      <c r="R97" s="45"/>
      <c r="S97" s="22"/>
      <c r="T97" s="22"/>
      <c r="U97" s="13"/>
      <c r="V97" s="13"/>
      <c r="W97" s="23"/>
      <c r="X97" s="13"/>
      <c r="Y97" s="13"/>
      <c r="Z97" s="13"/>
      <c r="AA97" s="13"/>
      <c r="AB97" s="13"/>
      <c r="AC97" s="13"/>
      <c r="AD97" s="13"/>
      <c r="AE97" s="13"/>
    </row>
    <row r="98" spans="1:31" ht="20.2" customHeight="1" x14ac:dyDescent="0.3">
      <c r="A98" s="14"/>
      <c r="B98" s="41"/>
      <c r="C98" s="31"/>
      <c r="D98" s="31"/>
      <c r="E98" s="31"/>
      <c r="F98" s="32"/>
      <c r="G98" s="42"/>
      <c r="H98" s="18" t="str">
        <f>IFERROR(VLOOKUP(G98,List2!$B$2:$C$100,2,FALSE), "Kerkali xodim topilmadi")</f>
        <v>Kerkali xodim topilmadi</v>
      </c>
      <c r="I98" s="7" t="str">
        <f>IFERROR(VLOOKUP(G98,List2!$B$2:$D$100,3,FALSE), "Kerkali BO'LIM topilmadi")</f>
        <v>Kerkali BO'LIM topilmadi</v>
      </c>
      <c r="J98" s="31"/>
      <c r="K98" s="43"/>
      <c r="L98" s="31"/>
      <c r="M98" s="31"/>
      <c r="N98" s="31"/>
      <c r="O98" s="31"/>
      <c r="P98" s="44"/>
      <c r="Q98" s="31"/>
      <c r="R98" s="45"/>
      <c r="S98" s="22"/>
      <c r="T98" s="22"/>
      <c r="U98" s="13"/>
      <c r="V98" s="13"/>
      <c r="W98" s="23"/>
      <c r="X98" s="13"/>
      <c r="Y98" s="13"/>
      <c r="Z98" s="13"/>
      <c r="AA98" s="13"/>
      <c r="AB98" s="13"/>
      <c r="AC98" s="13"/>
      <c r="AD98" s="13"/>
      <c r="AE98" s="13"/>
    </row>
    <row r="99" spans="1:31" ht="20.2" customHeight="1" x14ac:dyDescent="0.3">
      <c r="A99" s="14"/>
      <c r="B99" s="41"/>
      <c r="C99" s="31"/>
      <c r="D99" s="31"/>
      <c r="E99" s="31"/>
      <c r="F99" s="32"/>
      <c r="G99" s="42"/>
      <c r="H99" s="18" t="str">
        <f>IFERROR(VLOOKUP(G99,List2!$B$2:$C$100,2,FALSE), "Kerkali xodim topilmadi")</f>
        <v>Kerkali xodim topilmadi</v>
      </c>
      <c r="I99" s="7" t="str">
        <f>IFERROR(VLOOKUP(G99,List2!$B$2:$D$100,3,FALSE), "Kerkali BO'LIM topilmadi")</f>
        <v>Kerkali BO'LIM topilmadi</v>
      </c>
      <c r="J99" s="31"/>
      <c r="K99" s="43"/>
      <c r="L99" s="31"/>
      <c r="M99" s="31"/>
      <c r="N99" s="31"/>
      <c r="O99" s="31"/>
      <c r="P99" s="44"/>
      <c r="Q99" s="31"/>
      <c r="R99" s="45"/>
      <c r="S99" s="22"/>
      <c r="T99" s="22"/>
      <c r="U99" s="13"/>
      <c r="V99" s="13"/>
      <c r="W99" s="23"/>
      <c r="X99" s="13"/>
      <c r="Y99" s="13"/>
      <c r="Z99" s="13"/>
      <c r="AA99" s="13"/>
      <c r="AB99" s="13"/>
      <c r="AC99" s="13"/>
      <c r="AD99" s="13"/>
      <c r="AE99" s="13"/>
    </row>
    <row r="100" spans="1:31" ht="20.2" customHeight="1" x14ac:dyDescent="0.3">
      <c r="A100" s="14"/>
      <c r="B100" s="41"/>
      <c r="C100" s="31"/>
      <c r="D100" s="31"/>
      <c r="E100" s="31"/>
      <c r="F100" s="32"/>
      <c r="G100" s="42"/>
      <c r="H100" s="18" t="str">
        <f>IFERROR(VLOOKUP(G100,List2!$B$2:$C$100,2,FALSE), "Kerkali xodim topilmadi")</f>
        <v>Kerkali xodim topilmadi</v>
      </c>
      <c r="I100" s="7" t="str">
        <f>IFERROR(VLOOKUP(G100,List2!$B$2:$D$100,3,FALSE), "Kerkali BO'LIM topilmadi")</f>
        <v>Kerkali BO'LIM topilmadi</v>
      </c>
      <c r="J100" s="31"/>
      <c r="K100" s="43"/>
      <c r="L100" s="31"/>
      <c r="M100" s="31"/>
      <c r="N100" s="31"/>
      <c r="O100" s="31"/>
      <c r="P100" s="44"/>
      <c r="Q100" s="31"/>
      <c r="R100" s="45"/>
      <c r="S100" s="22"/>
      <c r="T100" s="22"/>
      <c r="U100" s="13"/>
      <c r="V100" s="13"/>
      <c r="W100" s="23"/>
      <c r="X100" s="13"/>
      <c r="Y100" s="13"/>
      <c r="Z100" s="13"/>
      <c r="AA100" s="13"/>
      <c r="AB100" s="13"/>
      <c r="AC100" s="13"/>
      <c r="AD100" s="13"/>
      <c r="AE100" s="13"/>
    </row>
    <row r="101" spans="1:31" ht="20.2" customHeight="1" x14ac:dyDescent="0.3">
      <c r="A101" s="14"/>
      <c r="B101" s="41"/>
      <c r="C101" s="31"/>
      <c r="D101" s="31"/>
      <c r="E101" s="31"/>
      <c r="F101" s="32"/>
      <c r="G101" s="42"/>
      <c r="H101" s="18" t="str">
        <f>IFERROR(VLOOKUP(G101,List2!$B$2:$C$100,2,FALSE), "Kerkali xodim topilmadi")</f>
        <v>Kerkali xodim topilmadi</v>
      </c>
      <c r="I101" s="7" t="str">
        <f>IFERROR(VLOOKUP(G101,List2!$B$2:$D$100,3,FALSE), "Kerkali BO'LIM topilmadi")</f>
        <v>Kerkali BO'LIM topilmadi</v>
      </c>
      <c r="J101" s="31"/>
      <c r="K101" s="43"/>
      <c r="L101" s="31"/>
      <c r="M101" s="31"/>
      <c r="N101" s="31"/>
      <c r="O101" s="31"/>
      <c r="P101" s="44"/>
      <c r="Q101" s="31"/>
      <c r="R101" s="45"/>
      <c r="S101" s="22"/>
      <c r="T101" s="22"/>
      <c r="U101" s="13"/>
      <c r="V101" s="13"/>
      <c r="W101" s="23"/>
      <c r="X101" s="13"/>
      <c r="Y101" s="13"/>
      <c r="Z101" s="13"/>
      <c r="AA101" s="13"/>
      <c r="AB101" s="13"/>
      <c r="AC101" s="13"/>
      <c r="AD101" s="13"/>
      <c r="AE101" s="13"/>
    </row>
    <row r="102" spans="1:31" ht="20.2" customHeight="1" x14ac:dyDescent="0.3">
      <c r="A102" s="14"/>
      <c r="B102" s="41"/>
      <c r="C102" s="31"/>
      <c r="D102" s="31"/>
      <c r="E102" s="31"/>
      <c r="F102" s="32"/>
      <c r="G102" s="42"/>
      <c r="H102" s="18" t="str">
        <f>IFERROR(VLOOKUP(G102,List2!$B$2:$C$100,2,FALSE), "Kerkali xodim topilmadi")</f>
        <v>Kerkali xodim topilmadi</v>
      </c>
      <c r="I102" s="7" t="str">
        <f>IFERROR(VLOOKUP(G102,List2!$B$2:$D$100,3,FALSE), "Kerkali BO'LIM topilmadi")</f>
        <v>Kerkali BO'LIM topilmadi</v>
      </c>
      <c r="J102" s="31"/>
      <c r="K102" s="43"/>
      <c r="L102" s="31"/>
      <c r="M102" s="31"/>
      <c r="N102" s="31"/>
      <c r="O102" s="31"/>
      <c r="P102" s="44"/>
      <c r="Q102" s="31"/>
      <c r="R102" s="45"/>
      <c r="S102" s="22"/>
      <c r="T102" s="22"/>
      <c r="U102" s="13"/>
      <c r="V102" s="13"/>
      <c r="W102" s="23"/>
      <c r="X102" s="13"/>
      <c r="Y102" s="13"/>
      <c r="Z102" s="13"/>
      <c r="AA102" s="13"/>
      <c r="AB102" s="13"/>
      <c r="AC102" s="13"/>
      <c r="AD102" s="13"/>
      <c r="AE102" s="13"/>
    </row>
    <row r="103" spans="1:31" ht="20.2" customHeight="1" x14ac:dyDescent="0.3">
      <c r="A103" s="14"/>
      <c r="B103" s="41"/>
      <c r="C103" s="31"/>
      <c r="D103" s="31"/>
      <c r="E103" s="31"/>
      <c r="F103" s="32"/>
      <c r="G103" s="42"/>
      <c r="H103" s="18" t="str">
        <f>IFERROR(VLOOKUP(G103,List2!$B$2:$C$100,2,FALSE), "Kerkali xodim topilmadi")</f>
        <v>Kerkali xodim topilmadi</v>
      </c>
      <c r="I103" s="7" t="str">
        <f>IFERROR(VLOOKUP(G103,List2!$B$2:$D$100,3,FALSE), "Kerkali BO'LIM topilmadi")</f>
        <v>Kerkali BO'LIM topilmadi</v>
      </c>
      <c r="J103" s="31"/>
      <c r="K103" s="43"/>
      <c r="L103" s="31"/>
      <c r="M103" s="31"/>
      <c r="N103" s="31"/>
      <c r="O103" s="31"/>
      <c r="P103" s="44"/>
      <c r="Q103" s="31"/>
      <c r="R103" s="45"/>
      <c r="S103" s="22"/>
      <c r="T103" s="22"/>
      <c r="U103" s="13"/>
      <c r="V103" s="13"/>
      <c r="W103" s="23"/>
      <c r="X103" s="13"/>
      <c r="Y103" s="13"/>
      <c r="Z103" s="13"/>
      <c r="AA103" s="13"/>
      <c r="AB103" s="13"/>
      <c r="AC103" s="13"/>
      <c r="AD103" s="13"/>
      <c r="AE103" s="13"/>
    </row>
    <row r="104" spans="1:31" ht="20.2" customHeight="1" x14ac:dyDescent="0.3">
      <c r="A104" s="14"/>
      <c r="B104" s="41"/>
      <c r="C104" s="31"/>
      <c r="D104" s="31"/>
      <c r="E104" s="31"/>
      <c r="F104" s="32"/>
      <c r="G104" s="42"/>
      <c r="H104" s="18" t="str">
        <f>IFERROR(VLOOKUP(G104,List2!$B$2:$C$100,2,FALSE), "Kerkali xodim topilmadi")</f>
        <v>Kerkali xodim topilmadi</v>
      </c>
      <c r="I104" s="7" t="str">
        <f>IFERROR(VLOOKUP(G104,List2!$B$2:$D$100,3,FALSE), "Kerkali BO'LIM topilmadi")</f>
        <v>Kerkali BO'LIM topilmadi</v>
      </c>
      <c r="J104" s="31"/>
      <c r="K104" s="43"/>
      <c r="L104" s="31"/>
      <c r="M104" s="31"/>
      <c r="N104" s="31"/>
      <c r="O104" s="31"/>
      <c r="P104" s="44"/>
      <c r="Q104" s="31"/>
      <c r="R104" s="45"/>
      <c r="S104" s="22"/>
      <c r="T104" s="22"/>
      <c r="U104" s="13"/>
      <c r="V104" s="13"/>
      <c r="W104" s="23"/>
      <c r="X104" s="13"/>
      <c r="Y104" s="13"/>
      <c r="Z104" s="13"/>
      <c r="AA104" s="13"/>
      <c r="AB104" s="13"/>
      <c r="AC104" s="13"/>
      <c r="AD104" s="13"/>
      <c r="AE104" s="13"/>
    </row>
    <row r="105" spans="1:31" ht="20.2" customHeight="1" x14ac:dyDescent="0.3">
      <c r="A105" s="14"/>
      <c r="B105" s="41"/>
      <c r="C105" s="31"/>
      <c r="D105" s="31"/>
      <c r="E105" s="31"/>
      <c r="F105" s="32"/>
      <c r="G105" s="42"/>
      <c r="H105" s="18" t="str">
        <f>IFERROR(VLOOKUP(G105,List2!$B$2:$C$100,2,FALSE), "Kerkali xodim topilmadi")</f>
        <v>Kerkali xodim topilmadi</v>
      </c>
      <c r="I105" s="7" t="str">
        <f>IFERROR(VLOOKUP(G105,List2!$B$2:$D$100,3,FALSE), "Kerkali BO'LIM topilmadi")</f>
        <v>Kerkali BO'LIM topilmadi</v>
      </c>
      <c r="J105" s="31"/>
      <c r="K105" s="43"/>
      <c r="L105" s="31"/>
      <c r="M105" s="31"/>
      <c r="N105" s="31"/>
      <c r="O105" s="31"/>
      <c r="P105" s="44"/>
      <c r="Q105" s="31"/>
      <c r="R105" s="45"/>
      <c r="S105" s="22"/>
      <c r="T105" s="22"/>
      <c r="U105" s="13"/>
      <c r="V105" s="13"/>
      <c r="W105" s="23"/>
      <c r="X105" s="13"/>
      <c r="Y105" s="13"/>
      <c r="Z105" s="13"/>
      <c r="AA105" s="13"/>
      <c r="AB105" s="13"/>
      <c r="AC105" s="13"/>
      <c r="AD105" s="13"/>
      <c r="AE105" s="13"/>
    </row>
    <row r="106" spans="1:31" ht="20.2" customHeight="1" x14ac:dyDescent="0.3">
      <c r="A106" s="14"/>
      <c r="B106" s="41"/>
      <c r="C106" s="31"/>
      <c r="D106" s="31"/>
      <c r="E106" s="31"/>
      <c r="F106" s="32"/>
      <c r="G106" s="42"/>
      <c r="H106" s="18" t="str">
        <f>IFERROR(VLOOKUP(G106,List2!$B$2:$C$100,2,FALSE), "Kerkali xodim topilmadi")</f>
        <v>Kerkali xodim topilmadi</v>
      </c>
      <c r="I106" s="7" t="str">
        <f>IFERROR(VLOOKUP(G106,List2!$B$2:$D$100,3,FALSE), "Kerkali BO'LIM topilmadi")</f>
        <v>Kerkali BO'LIM topilmadi</v>
      </c>
      <c r="J106" s="31"/>
      <c r="K106" s="43"/>
      <c r="L106" s="31"/>
      <c r="M106" s="31"/>
      <c r="N106" s="31"/>
      <c r="O106" s="31"/>
      <c r="P106" s="44"/>
      <c r="Q106" s="31"/>
      <c r="R106" s="45"/>
      <c r="S106" s="22"/>
      <c r="T106" s="22"/>
      <c r="U106" s="13"/>
      <c r="V106" s="13"/>
      <c r="W106" s="23"/>
      <c r="X106" s="13"/>
      <c r="Y106" s="13"/>
      <c r="Z106" s="13"/>
      <c r="AA106" s="13"/>
      <c r="AB106" s="13"/>
      <c r="AC106" s="13"/>
      <c r="AD106" s="13"/>
      <c r="AE106" s="13"/>
    </row>
    <row r="107" spans="1:31" ht="20.2" customHeight="1" x14ac:dyDescent="0.3">
      <c r="A107" s="14"/>
      <c r="B107" s="41"/>
      <c r="C107" s="31"/>
      <c r="D107" s="31"/>
      <c r="E107" s="31"/>
      <c r="F107" s="32"/>
      <c r="G107" s="42"/>
      <c r="H107" s="18" t="str">
        <f>IFERROR(VLOOKUP(G107,List2!$B$2:$C$100,2,FALSE), "Kerkali xodim topilmadi")</f>
        <v>Kerkali xodim topilmadi</v>
      </c>
      <c r="I107" s="7" t="str">
        <f>IFERROR(VLOOKUP(G107,List2!$B$2:$D$100,3,FALSE), "Kerkali BO'LIM topilmadi")</f>
        <v>Kerkali BO'LIM topilmadi</v>
      </c>
      <c r="J107" s="31"/>
      <c r="K107" s="43"/>
      <c r="L107" s="31"/>
      <c r="M107" s="31"/>
      <c r="N107" s="31"/>
      <c r="O107" s="31"/>
      <c r="P107" s="44"/>
      <c r="Q107" s="31"/>
      <c r="R107" s="45"/>
      <c r="S107" s="22"/>
      <c r="T107" s="22"/>
      <c r="U107" s="13"/>
      <c r="V107" s="13"/>
      <c r="W107" s="23"/>
      <c r="X107" s="13"/>
      <c r="Y107" s="13"/>
      <c r="Z107" s="13"/>
      <c r="AA107" s="13"/>
      <c r="AB107" s="13"/>
      <c r="AC107" s="13"/>
      <c r="AD107" s="13"/>
      <c r="AE107" s="13"/>
    </row>
    <row r="108" spans="1:31" ht="20.2" customHeight="1" x14ac:dyDescent="0.3">
      <c r="A108" s="14"/>
      <c r="B108" s="41"/>
      <c r="C108" s="31"/>
      <c r="D108" s="31"/>
      <c r="E108" s="31"/>
      <c r="F108" s="32"/>
      <c r="G108" s="42"/>
      <c r="H108" s="18" t="str">
        <f>IFERROR(VLOOKUP(G108,List2!$B$2:$C$100,2,FALSE), "Kerkali xodim topilmadi")</f>
        <v>Kerkali xodim topilmadi</v>
      </c>
      <c r="I108" s="7" t="str">
        <f>IFERROR(VLOOKUP(G108,List2!$B$2:$D$100,3,FALSE), "Kerkali BO'LIM topilmadi")</f>
        <v>Kerkali BO'LIM topilmadi</v>
      </c>
      <c r="J108" s="31"/>
      <c r="K108" s="43"/>
      <c r="L108" s="31"/>
      <c r="M108" s="31"/>
      <c r="N108" s="31"/>
      <c r="O108" s="31"/>
      <c r="P108" s="44"/>
      <c r="Q108" s="31"/>
      <c r="R108" s="45"/>
      <c r="S108" s="22"/>
      <c r="T108" s="22"/>
      <c r="U108" s="13"/>
      <c r="V108" s="13"/>
      <c r="W108" s="23"/>
      <c r="X108" s="13"/>
      <c r="Y108" s="13"/>
      <c r="Z108" s="13"/>
      <c r="AA108" s="13"/>
      <c r="AB108" s="13"/>
      <c r="AC108" s="13"/>
      <c r="AD108" s="13"/>
      <c r="AE108" s="13"/>
    </row>
    <row r="109" spans="1:31" ht="20.2" customHeight="1" x14ac:dyDescent="0.3">
      <c r="A109" s="14"/>
      <c r="B109" s="41"/>
      <c r="C109" s="31"/>
      <c r="D109" s="31"/>
      <c r="E109" s="31"/>
      <c r="F109" s="32"/>
      <c r="G109" s="42"/>
      <c r="H109" s="18" t="str">
        <f>IFERROR(VLOOKUP(G109,List2!$B$2:$C$100,2,FALSE), "Kerkali xodim topilmadi")</f>
        <v>Kerkali xodim topilmadi</v>
      </c>
      <c r="I109" s="7" t="str">
        <f>IFERROR(VLOOKUP(G109,List2!$B$2:$D$100,3,FALSE), "Kerkali BO'LIM topilmadi")</f>
        <v>Kerkali BO'LIM topilmadi</v>
      </c>
      <c r="J109" s="31"/>
      <c r="K109" s="43"/>
      <c r="L109" s="31"/>
      <c r="M109" s="31"/>
      <c r="N109" s="31"/>
      <c r="O109" s="31"/>
      <c r="P109" s="44"/>
      <c r="Q109" s="31"/>
      <c r="R109" s="45"/>
      <c r="S109" s="22"/>
      <c r="T109" s="22"/>
      <c r="U109" s="13"/>
      <c r="V109" s="13"/>
      <c r="W109" s="23"/>
      <c r="X109" s="13"/>
      <c r="Y109" s="13"/>
      <c r="Z109" s="13"/>
      <c r="AA109" s="13"/>
      <c r="AB109" s="13"/>
      <c r="AC109" s="13"/>
      <c r="AD109" s="13"/>
      <c r="AE109" s="13"/>
    </row>
    <row r="110" spans="1:31" ht="20.2" customHeight="1" x14ac:dyDescent="0.3">
      <c r="A110" s="14"/>
      <c r="B110" s="41"/>
      <c r="C110" s="31"/>
      <c r="D110" s="31"/>
      <c r="E110" s="31"/>
      <c r="F110" s="32"/>
      <c r="G110" s="42"/>
      <c r="H110" s="18" t="str">
        <f>IFERROR(VLOOKUP(G110,List2!$B$2:$C$100,2,FALSE), "Kerkali xodim topilmadi")</f>
        <v>Kerkali xodim topilmadi</v>
      </c>
      <c r="I110" s="7" t="str">
        <f>IFERROR(VLOOKUP(G110,List2!$B$2:$D$100,3,FALSE), "Kerkali BO'LIM topilmadi")</f>
        <v>Kerkali BO'LIM topilmadi</v>
      </c>
      <c r="J110" s="31"/>
      <c r="K110" s="43"/>
      <c r="L110" s="31"/>
      <c r="M110" s="31"/>
      <c r="N110" s="31"/>
      <c r="O110" s="31"/>
      <c r="P110" s="44"/>
      <c r="Q110" s="31"/>
      <c r="R110" s="45"/>
      <c r="S110" s="22"/>
      <c r="T110" s="22"/>
      <c r="U110" s="13"/>
      <c r="V110" s="13"/>
      <c r="W110" s="23"/>
      <c r="X110" s="13"/>
      <c r="Y110" s="13"/>
      <c r="Z110" s="13"/>
      <c r="AA110" s="13"/>
      <c r="AB110" s="13"/>
      <c r="AC110" s="13"/>
      <c r="AD110" s="13"/>
      <c r="AE110" s="13"/>
    </row>
    <row r="111" spans="1:31" ht="20.2" customHeight="1" x14ac:dyDescent="0.3">
      <c r="A111" s="14"/>
      <c r="B111" s="41"/>
      <c r="C111" s="31"/>
      <c r="D111" s="31"/>
      <c r="E111" s="31"/>
      <c r="F111" s="32"/>
      <c r="G111" s="42"/>
      <c r="H111" s="18" t="str">
        <f>IFERROR(VLOOKUP(G111,List2!$B$2:$C$100,2,FALSE), "Kerkali xodim topilmadi")</f>
        <v>Kerkali xodim topilmadi</v>
      </c>
      <c r="I111" s="7" t="str">
        <f>IFERROR(VLOOKUP(G111,List2!$B$2:$D$100,3,FALSE), "Kerkali BO'LIM topilmadi")</f>
        <v>Kerkali BO'LIM topilmadi</v>
      </c>
      <c r="J111" s="31"/>
      <c r="K111" s="43"/>
      <c r="L111" s="31"/>
      <c r="M111" s="31"/>
      <c r="N111" s="31"/>
      <c r="O111" s="31"/>
      <c r="P111" s="44"/>
      <c r="Q111" s="31"/>
      <c r="R111" s="45"/>
      <c r="S111" s="22"/>
      <c r="T111" s="22"/>
      <c r="U111" s="13"/>
      <c r="V111" s="13"/>
      <c r="W111" s="23"/>
      <c r="X111" s="13"/>
      <c r="Y111" s="13"/>
      <c r="Z111" s="13"/>
      <c r="AA111" s="13"/>
      <c r="AB111" s="13"/>
      <c r="AC111" s="13"/>
      <c r="AD111" s="13"/>
      <c r="AE111" s="13"/>
    </row>
    <row r="112" spans="1:31" ht="20.2" customHeight="1" x14ac:dyDescent="0.3">
      <c r="A112" s="14"/>
      <c r="B112" s="41"/>
      <c r="C112" s="31"/>
      <c r="D112" s="31"/>
      <c r="E112" s="31"/>
      <c r="F112" s="32"/>
      <c r="G112" s="42"/>
      <c r="H112" s="18" t="str">
        <f>IFERROR(VLOOKUP(G112,List2!$B$2:$C$100,2,FALSE), "Kerkali xodim topilmadi")</f>
        <v>Kerkali xodim topilmadi</v>
      </c>
      <c r="I112" s="7" t="str">
        <f>IFERROR(VLOOKUP(G112,List2!$B$2:$D$100,3,FALSE), "Kerkali BO'LIM topilmadi")</f>
        <v>Kerkali BO'LIM topilmadi</v>
      </c>
      <c r="J112" s="31"/>
      <c r="K112" s="43"/>
      <c r="L112" s="31"/>
      <c r="M112" s="31"/>
      <c r="N112" s="31"/>
      <c r="O112" s="31"/>
      <c r="P112" s="44"/>
      <c r="Q112" s="31"/>
      <c r="R112" s="45"/>
      <c r="S112" s="22"/>
      <c r="T112" s="22"/>
      <c r="U112" s="13"/>
      <c r="V112" s="13"/>
      <c r="W112" s="23"/>
      <c r="X112" s="13"/>
      <c r="Y112" s="13"/>
      <c r="Z112" s="13"/>
      <c r="AA112" s="13"/>
      <c r="AB112" s="13"/>
      <c r="AC112" s="13"/>
      <c r="AD112" s="13"/>
      <c r="AE112" s="13"/>
    </row>
    <row r="113" spans="1:31" ht="20.2" customHeight="1" x14ac:dyDescent="0.3">
      <c r="A113" s="14"/>
      <c r="B113" s="41"/>
      <c r="C113" s="31"/>
      <c r="D113" s="31"/>
      <c r="E113" s="31"/>
      <c r="F113" s="32"/>
      <c r="G113" s="42"/>
      <c r="H113" s="18" t="str">
        <f>IFERROR(VLOOKUP(G113,List2!$B$2:$C$100,2,FALSE), "Kerkali xodim topilmadi")</f>
        <v>Kerkali xodim topilmadi</v>
      </c>
      <c r="I113" s="7" t="str">
        <f>IFERROR(VLOOKUP(G113,List2!$B$2:$D$100,3,FALSE), "Kerkali BO'LIM topilmadi")</f>
        <v>Kerkali BO'LIM topilmadi</v>
      </c>
      <c r="J113" s="31"/>
      <c r="K113" s="43"/>
      <c r="L113" s="31"/>
      <c r="M113" s="31"/>
      <c r="N113" s="31"/>
      <c r="O113" s="31"/>
      <c r="P113" s="44"/>
      <c r="Q113" s="31"/>
      <c r="R113" s="45"/>
      <c r="S113" s="22"/>
      <c r="T113" s="22"/>
      <c r="U113" s="13"/>
      <c r="V113" s="13"/>
      <c r="W113" s="23"/>
      <c r="X113" s="13"/>
      <c r="Y113" s="13"/>
      <c r="Z113" s="13"/>
      <c r="AA113" s="13"/>
      <c r="AB113" s="13"/>
      <c r="AC113" s="13"/>
      <c r="AD113" s="13"/>
      <c r="AE113" s="13"/>
    </row>
    <row r="114" spans="1:31" ht="20.2" customHeight="1" x14ac:dyDescent="0.3">
      <c r="A114" s="14"/>
      <c r="B114" s="41"/>
      <c r="C114" s="31"/>
      <c r="D114" s="31"/>
      <c r="E114" s="31"/>
      <c r="F114" s="32"/>
      <c r="G114" s="42"/>
      <c r="H114" s="18" t="str">
        <f>IFERROR(VLOOKUP(G114,List2!$B$2:$C$100,2,FALSE), "Kerkali xodim topilmadi")</f>
        <v>Kerkali xodim topilmadi</v>
      </c>
      <c r="I114" s="7" t="str">
        <f>IFERROR(VLOOKUP(G114,List2!$B$2:$D$100,3,FALSE), "Kerkali BO'LIM topilmadi")</f>
        <v>Kerkali BO'LIM topilmadi</v>
      </c>
      <c r="J114" s="31"/>
      <c r="K114" s="43"/>
      <c r="L114" s="31"/>
      <c r="M114" s="31"/>
      <c r="N114" s="31"/>
      <c r="O114" s="31"/>
      <c r="P114" s="44"/>
      <c r="Q114" s="31"/>
      <c r="R114" s="45"/>
      <c r="S114" s="22"/>
      <c r="T114" s="22"/>
      <c r="U114" s="13"/>
      <c r="V114" s="13"/>
      <c r="W114" s="23"/>
      <c r="X114" s="13"/>
      <c r="Y114" s="13"/>
      <c r="Z114" s="13"/>
      <c r="AA114" s="13"/>
      <c r="AB114" s="13"/>
      <c r="AC114" s="13"/>
      <c r="AD114" s="13"/>
      <c r="AE114" s="13"/>
    </row>
    <row r="115" spans="1:31" ht="20.2" customHeight="1" x14ac:dyDescent="0.3">
      <c r="A115" s="14"/>
      <c r="B115" s="41"/>
      <c r="C115" s="31"/>
      <c r="D115" s="31"/>
      <c r="E115" s="31"/>
      <c r="F115" s="32"/>
      <c r="G115" s="42"/>
      <c r="H115" s="18" t="str">
        <f>IFERROR(VLOOKUP(G115,List2!$B$2:$C$100,2,FALSE), "Kerkali xodim topilmadi")</f>
        <v>Kerkali xodim topilmadi</v>
      </c>
      <c r="I115" s="7" t="str">
        <f>IFERROR(VLOOKUP(G115,List2!$B$2:$D$100,3,FALSE), "Kerkali BO'LIM topilmadi")</f>
        <v>Kerkali BO'LIM topilmadi</v>
      </c>
      <c r="J115" s="31"/>
      <c r="K115" s="43"/>
      <c r="L115" s="31"/>
      <c r="M115" s="31"/>
      <c r="N115" s="31"/>
      <c r="O115" s="31"/>
      <c r="P115" s="44"/>
      <c r="Q115" s="31"/>
      <c r="R115" s="45"/>
      <c r="S115" s="22"/>
      <c r="T115" s="22"/>
      <c r="U115" s="13"/>
      <c r="V115" s="13"/>
      <c r="W115" s="23"/>
      <c r="X115" s="13"/>
      <c r="Y115" s="13"/>
      <c r="Z115" s="13"/>
      <c r="AA115" s="13"/>
      <c r="AB115" s="13"/>
      <c r="AC115" s="13"/>
      <c r="AD115" s="13"/>
      <c r="AE115" s="13"/>
    </row>
    <row r="116" spans="1:31" ht="20.2" customHeight="1" x14ac:dyDescent="0.3">
      <c r="A116" s="14"/>
      <c r="B116" s="41"/>
      <c r="C116" s="31"/>
      <c r="D116" s="31"/>
      <c r="E116" s="31"/>
      <c r="F116" s="32"/>
      <c r="G116" s="42"/>
      <c r="H116" s="18" t="str">
        <f>IFERROR(VLOOKUP(G116,List2!$B$2:$C$100,2,FALSE), "Kerkali xodim topilmadi")</f>
        <v>Kerkali xodim topilmadi</v>
      </c>
      <c r="I116" s="7" t="str">
        <f>IFERROR(VLOOKUP(G116,List2!$B$2:$D$100,3,FALSE), "Kerkali BO'LIM topilmadi")</f>
        <v>Kerkali BO'LIM topilmadi</v>
      </c>
      <c r="J116" s="31"/>
      <c r="K116" s="43"/>
      <c r="L116" s="31"/>
      <c r="M116" s="31"/>
      <c r="N116" s="31"/>
      <c r="O116" s="31"/>
      <c r="P116" s="44"/>
      <c r="Q116" s="31"/>
      <c r="R116" s="45"/>
      <c r="S116" s="22"/>
      <c r="T116" s="22"/>
      <c r="U116" s="13"/>
      <c r="V116" s="13"/>
      <c r="W116" s="23"/>
      <c r="X116" s="13"/>
      <c r="Y116" s="13"/>
      <c r="Z116" s="13"/>
      <c r="AA116" s="13"/>
      <c r="AB116" s="13"/>
      <c r="AC116" s="13"/>
      <c r="AD116" s="13"/>
      <c r="AE116" s="13"/>
    </row>
    <row r="117" spans="1:31" ht="20.2" customHeight="1" x14ac:dyDescent="0.3">
      <c r="A117" s="14"/>
      <c r="B117" s="41"/>
      <c r="C117" s="31"/>
      <c r="D117" s="31"/>
      <c r="E117" s="31"/>
      <c r="F117" s="32"/>
      <c r="G117" s="42"/>
      <c r="H117" s="18" t="str">
        <f>IFERROR(VLOOKUP(G117,List2!$B$2:$C$100,2,FALSE), "Kerkali xodim topilmadi")</f>
        <v>Kerkali xodim topilmadi</v>
      </c>
      <c r="I117" s="7" t="str">
        <f>IFERROR(VLOOKUP(G117,List2!$B$2:$D$100,3,FALSE), "Kerkali BO'LIM topilmadi")</f>
        <v>Kerkali BO'LIM topilmadi</v>
      </c>
      <c r="J117" s="31"/>
      <c r="K117" s="43"/>
      <c r="L117" s="31"/>
      <c r="M117" s="31"/>
      <c r="N117" s="31"/>
      <c r="O117" s="31"/>
      <c r="P117" s="44"/>
      <c r="Q117" s="31"/>
      <c r="R117" s="45"/>
      <c r="S117" s="22"/>
      <c r="T117" s="22"/>
      <c r="U117" s="13"/>
      <c r="V117" s="13"/>
      <c r="W117" s="23"/>
      <c r="X117" s="13"/>
      <c r="Y117" s="13"/>
      <c r="Z117" s="13"/>
      <c r="AA117" s="13"/>
      <c r="AB117" s="13"/>
      <c r="AC117" s="13"/>
      <c r="AD117" s="13"/>
      <c r="AE117" s="13"/>
    </row>
    <row r="118" spans="1:31" ht="20.2" customHeight="1" x14ac:dyDescent="0.3">
      <c r="A118" s="14"/>
      <c r="B118" s="41"/>
      <c r="C118" s="31"/>
      <c r="D118" s="31"/>
      <c r="E118" s="31"/>
      <c r="F118" s="32"/>
      <c r="G118" s="42"/>
      <c r="H118" s="18" t="str">
        <f>IFERROR(VLOOKUP(G118,List2!$B$2:$C$100,2,FALSE), "Kerkali xodim topilmadi")</f>
        <v>Kerkali xodim topilmadi</v>
      </c>
      <c r="I118" s="7" t="str">
        <f>IFERROR(VLOOKUP(G118,List2!$B$2:$D$100,3,FALSE), "Kerkali BO'LIM topilmadi")</f>
        <v>Kerkali BO'LIM topilmadi</v>
      </c>
      <c r="J118" s="31"/>
      <c r="K118" s="43"/>
      <c r="L118" s="31"/>
      <c r="M118" s="31"/>
      <c r="N118" s="31"/>
      <c r="O118" s="31"/>
      <c r="P118" s="44"/>
      <c r="Q118" s="31"/>
      <c r="R118" s="45"/>
      <c r="S118" s="22"/>
      <c r="T118" s="22"/>
      <c r="U118" s="13"/>
      <c r="V118" s="13"/>
      <c r="W118" s="23"/>
      <c r="X118" s="13"/>
      <c r="Y118" s="13"/>
      <c r="Z118" s="13"/>
      <c r="AA118" s="13"/>
      <c r="AB118" s="13"/>
      <c r="AC118" s="13"/>
      <c r="AD118" s="13"/>
      <c r="AE118" s="13"/>
    </row>
    <row r="119" spans="1:31" ht="20.2" customHeight="1" x14ac:dyDescent="0.3">
      <c r="A119" s="14"/>
      <c r="B119" s="41"/>
      <c r="C119" s="31"/>
      <c r="D119" s="31"/>
      <c r="E119" s="31"/>
      <c r="F119" s="32"/>
      <c r="G119" s="42"/>
      <c r="H119" s="18" t="str">
        <f>IFERROR(VLOOKUP(G119,List2!$B$2:$C$100,2,FALSE), "Kerkali xodim topilmadi")</f>
        <v>Kerkali xodim topilmadi</v>
      </c>
      <c r="I119" s="7" t="str">
        <f>IFERROR(VLOOKUP(G119,List2!$B$2:$D$100,3,FALSE), "Kerkali BO'LIM topilmadi")</f>
        <v>Kerkali BO'LIM topilmadi</v>
      </c>
      <c r="J119" s="31"/>
      <c r="K119" s="43"/>
      <c r="L119" s="31"/>
      <c r="M119" s="31"/>
      <c r="N119" s="31"/>
      <c r="O119" s="31"/>
      <c r="P119" s="44"/>
      <c r="Q119" s="31"/>
      <c r="R119" s="45"/>
      <c r="S119" s="22"/>
      <c r="T119" s="22"/>
      <c r="U119" s="13"/>
      <c r="V119" s="13"/>
      <c r="W119" s="23"/>
      <c r="X119" s="13"/>
      <c r="Y119" s="13"/>
      <c r="Z119" s="13"/>
      <c r="AA119" s="13"/>
      <c r="AB119" s="13"/>
      <c r="AC119" s="13"/>
      <c r="AD119" s="13"/>
      <c r="AE119" s="13"/>
    </row>
    <row r="120" spans="1:31" ht="20.2" customHeight="1" x14ac:dyDescent="0.3">
      <c r="A120" s="14"/>
      <c r="B120" s="41"/>
      <c r="C120" s="31"/>
      <c r="D120" s="31"/>
      <c r="E120" s="31"/>
      <c r="F120" s="32"/>
      <c r="G120" s="42"/>
      <c r="H120" s="18" t="str">
        <f>IFERROR(VLOOKUP(G120,List2!$B$2:$C$100,2,FALSE), "Kerkali xodim topilmadi")</f>
        <v>Kerkali xodim topilmadi</v>
      </c>
      <c r="I120" s="7" t="str">
        <f>IFERROR(VLOOKUP(G120,List2!$B$2:$D$100,3,FALSE), "Kerkali BO'LIM topilmadi")</f>
        <v>Kerkali BO'LIM topilmadi</v>
      </c>
      <c r="J120" s="31"/>
      <c r="K120" s="43"/>
      <c r="L120" s="31"/>
      <c r="M120" s="31"/>
      <c r="N120" s="31"/>
      <c r="O120" s="31"/>
      <c r="P120" s="44"/>
      <c r="Q120" s="31"/>
      <c r="R120" s="45"/>
      <c r="S120" s="22"/>
      <c r="T120" s="22"/>
      <c r="U120" s="13"/>
      <c r="V120" s="13"/>
      <c r="W120" s="23"/>
      <c r="X120" s="13"/>
      <c r="Y120" s="13"/>
      <c r="Z120" s="13"/>
      <c r="AA120" s="13"/>
      <c r="AB120" s="13"/>
      <c r="AC120" s="13"/>
      <c r="AD120" s="13"/>
      <c r="AE120" s="13"/>
    </row>
    <row r="121" spans="1:31" ht="20.2" customHeight="1" x14ac:dyDescent="0.3">
      <c r="A121" s="14"/>
      <c r="B121" s="41"/>
      <c r="C121" s="31"/>
      <c r="D121" s="31"/>
      <c r="E121" s="31"/>
      <c r="F121" s="32"/>
      <c r="G121" s="42"/>
      <c r="H121" s="18" t="str">
        <f>IFERROR(VLOOKUP(G121,List2!$B$2:$C$100,2,FALSE), "Kerkali xodim topilmadi")</f>
        <v>Kerkali xodim topilmadi</v>
      </c>
      <c r="I121" s="7" t="str">
        <f>IFERROR(VLOOKUP(G121,List2!$B$2:$D$100,3,FALSE), "Kerkali BO'LIM topilmadi")</f>
        <v>Kerkali BO'LIM topilmadi</v>
      </c>
      <c r="J121" s="31"/>
      <c r="K121" s="43"/>
      <c r="L121" s="31"/>
      <c r="M121" s="31"/>
      <c r="N121" s="31"/>
      <c r="O121" s="31"/>
      <c r="P121" s="44"/>
      <c r="Q121" s="31"/>
      <c r="R121" s="45"/>
      <c r="S121" s="22"/>
      <c r="T121" s="22"/>
      <c r="U121" s="13"/>
      <c r="V121" s="13"/>
      <c r="W121" s="23"/>
      <c r="X121" s="13"/>
      <c r="Y121" s="13"/>
      <c r="Z121" s="13"/>
      <c r="AA121" s="13"/>
      <c r="AB121" s="13"/>
      <c r="AC121" s="13"/>
      <c r="AD121" s="13"/>
      <c r="AE121" s="13"/>
    </row>
    <row r="122" spans="1:31" ht="20.2" customHeight="1" x14ac:dyDescent="0.3">
      <c r="A122" s="14"/>
      <c r="B122" s="41"/>
      <c r="C122" s="31"/>
      <c r="D122" s="31"/>
      <c r="E122" s="31"/>
      <c r="F122" s="32"/>
      <c r="G122" s="42"/>
      <c r="H122" s="18" t="str">
        <f>IFERROR(VLOOKUP(G122,List2!$B$2:$C$100,2,FALSE), "Kerkali xodim topilmadi")</f>
        <v>Kerkali xodim topilmadi</v>
      </c>
      <c r="I122" s="7" t="str">
        <f>IFERROR(VLOOKUP(G122,List2!$B$2:$D$100,3,FALSE), "Kerkali BO'LIM topilmadi")</f>
        <v>Kerkali BO'LIM topilmadi</v>
      </c>
      <c r="J122" s="31"/>
      <c r="K122" s="43"/>
      <c r="L122" s="31"/>
      <c r="M122" s="31"/>
      <c r="N122" s="31"/>
      <c r="O122" s="31"/>
      <c r="P122" s="44"/>
      <c r="Q122" s="31"/>
      <c r="R122" s="45"/>
      <c r="S122" s="22"/>
      <c r="T122" s="22"/>
      <c r="U122" s="13"/>
      <c r="V122" s="13"/>
      <c r="W122" s="23"/>
      <c r="X122" s="13"/>
      <c r="Y122" s="13"/>
      <c r="Z122" s="13"/>
      <c r="AA122" s="13"/>
      <c r="AB122" s="13"/>
      <c r="AC122" s="13"/>
      <c r="AD122" s="13"/>
      <c r="AE122" s="13"/>
    </row>
    <row r="123" spans="1:31" ht="20.2" customHeight="1" x14ac:dyDescent="0.3">
      <c r="A123" s="14"/>
      <c r="B123" s="41"/>
      <c r="C123" s="31"/>
      <c r="D123" s="31"/>
      <c r="E123" s="31"/>
      <c r="F123" s="32"/>
      <c r="G123" s="42"/>
      <c r="H123" s="18" t="str">
        <f>IFERROR(VLOOKUP(G123,List2!$B$2:$C$100,2,FALSE), "Kerkali xodim topilmadi")</f>
        <v>Kerkali xodim topilmadi</v>
      </c>
      <c r="I123" s="7" t="str">
        <f>IFERROR(VLOOKUP(G123,List2!$B$2:$D$100,3,FALSE), "Kerkali BO'LIM topilmadi")</f>
        <v>Kerkali BO'LIM topilmadi</v>
      </c>
      <c r="J123" s="31"/>
      <c r="K123" s="43"/>
      <c r="L123" s="31"/>
      <c r="M123" s="31"/>
      <c r="N123" s="31"/>
      <c r="O123" s="31"/>
      <c r="P123" s="44"/>
      <c r="Q123" s="31"/>
      <c r="R123" s="45"/>
      <c r="S123" s="22"/>
      <c r="T123" s="22"/>
      <c r="U123" s="13"/>
      <c r="V123" s="13"/>
      <c r="W123" s="23"/>
      <c r="X123" s="13"/>
      <c r="Y123" s="13"/>
      <c r="Z123" s="13"/>
      <c r="AA123" s="13"/>
      <c r="AB123" s="13"/>
      <c r="AC123" s="13"/>
      <c r="AD123" s="13"/>
      <c r="AE123" s="13"/>
    </row>
    <row r="124" spans="1:31" ht="20.2" customHeight="1" x14ac:dyDescent="0.3">
      <c r="A124" s="14"/>
      <c r="B124" s="41"/>
      <c r="C124" s="31"/>
      <c r="D124" s="31"/>
      <c r="E124" s="31"/>
      <c r="F124" s="32"/>
      <c r="G124" s="42"/>
      <c r="H124" s="18" t="str">
        <f>IFERROR(VLOOKUP(G124,List2!$B$2:$C$100,2,FALSE), "Kerkali xodim topilmadi")</f>
        <v>Kerkali xodim topilmadi</v>
      </c>
      <c r="I124" s="7" t="str">
        <f>IFERROR(VLOOKUP(G124,List2!$B$2:$D$100,3,FALSE), "Kerkali BO'LIM topilmadi")</f>
        <v>Kerkali BO'LIM topilmadi</v>
      </c>
      <c r="J124" s="31"/>
      <c r="K124" s="43"/>
      <c r="L124" s="31"/>
      <c r="M124" s="31"/>
      <c r="N124" s="31"/>
      <c r="O124" s="31"/>
      <c r="P124" s="44"/>
      <c r="Q124" s="31"/>
      <c r="R124" s="45"/>
      <c r="S124" s="22"/>
      <c r="T124" s="22"/>
      <c r="U124" s="13"/>
      <c r="V124" s="13"/>
      <c r="W124" s="23"/>
      <c r="X124" s="13"/>
      <c r="Y124" s="13"/>
      <c r="Z124" s="13"/>
      <c r="AA124" s="13"/>
      <c r="AB124" s="13"/>
      <c r="AC124" s="13"/>
      <c r="AD124" s="13"/>
      <c r="AE124" s="13"/>
    </row>
    <row r="125" spans="1:31" ht="20.2" customHeight="1" x14ac:dyDescent="0.3">
      <c r="A125" s="14"/>
      <c r="B125" s="41"/>
      <c r="C125" s="31"/>
      <c r="D125" s="31"/>
      <c r="E125" s="31"/>
      <c r="F125" s="32"/>
      <c r="G125" s="42"/>
      <c r="H125" s="18" t="str">
        <f>IFERROR(VLOOKUP(G125,List2!$B$2:$C$100,2,FALSE), "Kerkali xodim topilmadi")</f>
        <v>Kerkali xodim topilmadi</v>
      </c>
      <c r="I125" s="7" t="str">
        <f>IFERROR(VLOOKUP(G125,List2!$B$2:$D$100,3,FALSE), "Kerkali BO'LIM topilmadi")</f>
        <v>Kerkali BO'LIM topilmadi</v>
      </c>
      <c r="J125" s="31"/>
      <c r="K125" s="43"/>
      <c r="L125" s="31"/>
      <c r="M125" s="31"/>
      <c r="N125" s="31"/>
      <c r="O125" s="31"/>
      <c r="P125" s="44"/>
      <c r="Q125" s="31"/>
      <c r="R125" s="45"/>
      <c r="S125" s="22"/>
      <c r="T125" s="22"/>
      <c r="U125" s="13"/>
      <c r="V125" s="13"/>
      <c r="W125" s="23"/>
      <c r="X125" s="13"/>
      <c r="Y125" s="13"/>
      <c r="Z125" s="13"/>
      <c r="AA125" s="13"/>
      <c r="AB125" s="13"/>
      <c r="AC125" s="13"/>
      <c r="AD125" s="13"/>
      <c r="AE125" s="13"/>
    </row>
    <row r="126" spans="1:31" ht="20.2" customHeight="1" x14ac:dyDescent="0.3">
      <c r="A126" s="14"/>
      <c r="B126" s="41"/>
      <c r="C126" s="31"/>
      <c r="D126" s="31"/>
      <c r="E126" s="31"/>
      <c r="F126" s="32"/>
      <c r="G126" s="42"/>
      <c r="H126" s="18" t="str">
        <f>IFERROR(VLOOKUP(G126,List2!$B$2:$C$100,2,FALSE), "Kerkali xodim topilmadi")</f>
        <v>Kerkali xodim topilmadi</v>
      </c>
      <c r="I126" s="7" t="str">
        <f>IFERROR(VLOOKUP(G126,List2!$B$2:$D$100,3,FALSE), "Kerkali BO'LIM topilmadi")</f>
        <v>Kerkali BO'LIM topilmadi</v>
      </c>
      <c r="J126" s="31"/>
      <c r="K126" s="43"/>
      <c r="L126" s="31"/>
      <c r="M126" s="31"/>
      <c r="N126" s="31"/>
      <c r="O126" s="31"/>
      <c r="P126" s="44"/>
      <c r="Q126" s="31"/>
      <c r="R126" s="45"/>
      <c r="S126" s="22"/>
      <c r="T126" s="22"/>
      <c r="U126" s="13"/>
      <c r="V126" s="13"/>
      <c r="W126" s="23"/>
      <c r="X126" s="13"/>
      <c r="Y126" s="13"/>
      <c r="Z126" s="13"/>
      <c r="AA126" s="13"/>
      <c r="AB126" s="13"/>
      <c r="AC126" s="13"/>
      <c r="AD126" s="13"/>
      <c r="AE126" s="13"/>
    </row>
    <row r="127" spans="1:31" ht="20.2" customHeight="1" x14ac:dyDescent="0.3">
      <c r="A127" s="14"/>
      <c r="B127" s="41"/>
      <c r="C127" s="31"/>
      <c r="D127" s="31"/>
      <c r="E127" s="31"/>
      <c r="F127" s="32"/>
      <c r="G127" s="42"/>
      <c r="H127" s="18" t="str">
        <f>IFERROR(VLOOKUP(G127,List2!$B$2:$C$100,2,FALSE), "Kerkali xodim topilmadi")</f>
        <v>Kerkali xodim topilmadi</v>
      </c>
      <c r="I127" s="7" t="str">
        <f>IFERROR(VLOOKUP(G127,List2!$B$2:$D$100,3,FALSE), "Kerkali BO'LIM topilmadi")</f>
        <v>Kerkali BO'LIM topilmadi</v>
      </c>
      <c r="J127" s="31"/>
      <c r="K127" s="43"/>
      <c r="L127" s="31"/>
      <c r="M127" s="31"/>
      <c r="N127" s="31"/>
      <c r="O127" s="31"/>
      <c r="P127" s="44"/>
      <c r="Q127" s="31"/>
      <c r="R127" s="45"/>
      <c r="S127" s="22"/>
      <c r="T127" s="22"/>
      <c r="U127" s="13"/>
      <c r="V127" s="13"/>
      <c r="W127" s="23"/>
      <c r="X127" s="13"/>
      <c r="Y127" s="13"/>
      <c r="Z127" s="13"/>
      <c r="AA127" s="13"/>
      <c r="AB127" s="13"/>
      <c r="AC127" s="13"/>
      <c r="AD127" s="13"/>
      <c r="AE127" s="13"/>
    </row>
    <row r="128" spans="1:31" ht="20.2" customHeight="1" x14ac:dyDescent="0.3">
      <c r="A128" s="14"/>
      <c r="B128" s="41"/>
      <c r="C128" s="31"/>
      <c r="D128" s="31"/>
      <c r="E128" s="31"/>
      <c r="F128" s="32"/>
      <c r="G128" s="42"/>
      <c r="H128" s="18" t="str">
        <f>IFERROR(VLOOKUP(G128,List2!$B$2:$C$100,2,FALSE), "Kerkali xodim topilmadi")</f>
        <v>Kerkali xodim topilmadi</v>
      </c>
      <c r="I128" s="7" t="str">
        <f>IFERROR(VLOOKUP(G128,List2!$B$2:$D$100,3,FALSE), "Kerkali BO'LIM topilmadi")</f>
        <v>Kerkali BO'LIM topilmadi</v>
      </c>
      <c r="J128" s="31"/>
      <c r="K128" s="43"/>
      <c r="L128" s="31"/>
      <c r="M128" s="31"/>
      <c r="N128" s="31"/>
      <c r="O128" s="31"/>
      <c r="P128" s="44"/>
      <c r="Q128" s="31"/>
      <c r="R128" s="45"/>
      <c r="S128" s="22"/>
      <c r="T128" s="22"/>
      <c r="U128" s="13"/>
      <c r="V128" s="13"/>
      <c r="W128" s="23"/>
      <c r="X128" s="13"/>
      <c r="Y128" s="13"/>
      <c r="Z128" s="13"/>
      <c r="AA128" s="13"/>
      <c r="AB128" s="13"/>
      <c r="AC128" s="13"/>
      <c r="AD128" s="13"/>
      <c r="AE128" s="13"/>
    </row>
    <row r="129" spans="1:31" ht="20.2" customHeight="1" x14ac:dyDescent="0.3">
      <c r="A129" s="14"/>
      <c r="B129" s="41"/>
      <c r="C129" s="31"/>
      <c r="D129" s="31"/>
      <c r="E129" s="31"/>
      <c r="F129" s="32"/>
      <c r="G129" s="42"/>
      <c r="H129" s="18" t="str">
        <f>IFERROR(VLOOKUP(G129,List2!$B$2:$C$100,2,FALSE), "Kerkali xodim topilmadi")</f>
        <v>Kerkali xodim topilmadi</v>
      </c>
      <c r="I129" s="7" t="str">
        <f>IFERROR(VLOOKUP(G129,List2!$B$2:$D$100,3,FALSE), "Kerkali BO'LIM topilmadi")</f>
        <v>Kerkali BO'LIM topilmadi</v>
      </c>
      <c r="J129" s="31"/>
      <c r="K129" s="43"/>
      <c r="L129" s="31"/>
      <c r="M129" s="31"/>
      <c r="N129" s="31"/>
      <c r="O129" s="31"/>
      <c r="P129" s="44"/>
      <c r="Q129" s="31"/>
      <c r="R129" s="45"/>
      <c r="S129" s="22"/>
      <c r="T129" s="22"/>
      <c r="U129" s="13"/>
      <c r="V129" s="13"/>
      <c r="W129" s="23"/>
      <c r="X129" s="13"/>
      <c r="Y129" s="13"/>
      <c r="Z129" s="13"/>
      <c r="AA129" s="13"/>
      <c r="AB129" s="13"/>
      <c r="AC129" s="13"/>
      <c r="AD129" s="13"/>
      <c r="AE129" s="13"/>
    </row>
    <row r="130" spans="1:31" ht="20.2" customHeight="1" x14ac:dyDescent="0.3">
      <c r="A130" s="14"/>
      <c r="B130" s="41"/>
      <c r="C130" s="31"/>
      <c r="D130" s="31"/>
      <c r="E130" s="31"/>
      <c r="F130" s="32"/>
      <c r="G130" s="42"/>
      <c r="H130" s="18" t="str">
        <f>IFERROR(VLOOKUP(G130,List2!$B$2:$C$100,2,FALSE), "Kerkali xodim topilmadi")</f>
        <v>Kerkali xodim topilmadi</v>
      </c>
      <c r="I130" s="7" t="str">
        <f>IFERROR(VLOOKUP(G130,List2!$B$2:$D$100,3,FALSE), "Kerkali BO'LIM topilmadi")</f>
        <v>Kerkali BO'LIM topilmadi</v>
      </c>
      <c r="J130" s="31"/>
      <c r="K130" s="43"/>
      <c r="L130" s="31"/>
      <c r="M130" s="31"/>
      <c r="N130" s="31"/>
      <c r="O130" s="31"/>
      <c r="P130" s="44"/>
      <c r="Q130" s="31"/>
      <c r="R130" s="45"/>
      <c r="S130" s="22"/>
      <c r="T130" s="22"/>
      <c r="U130" s="13"/>
      <c r="V130" s="13"/>
      <c r="W130" s="23"/>
      <c r="X130" s="13"/>
      <c r="Y130" s="13"/>
      <c r="Z130" s="13"/>
      <c r="AA130" s="13"/>
      <c r="AB130" s="13"/>
      <c r="AC130" s="13"/>
      <c r="AD130" s="13"/>
      <c r="AE130" s="13"/>
    </row>
    <row r="131" spans="1:31" ht="20.2" customHeight="1" x14ac:dyDescent="0.3">
      <c r="A131" s="14"/>
      <c r="B131" s="41"/>
      <c r="C131" s="31"/>
      <c r="D131" s="31"/>
      <c r="E131" s="31"/>
      <c r="F131" s="32"/>
      <c r="G131" s="42"/>
      <c r="H131" s="18" t="str">
        <f>IFERROR(VLOOKUP(G131,List2!$B$2:$C$100,2,FALSE), "Kerkali xodim topilmadi")</f>
        <v>Kerkali xodim topilmadi</v>
      </c>
      <c r="I131" s="7" t="str">
        <f>IFERROR(VLOOKUP(G131,List2!$B$2:$D$100,3,FALSE), "Kerkali BO'LIM topilmadi")</f>
        <v>Kerkali BO'LIM topilmadi</v>
      </c>
      <c r="J131" s="31"/>
      <c r="K131" s="43"/>
      <c r="L131" s="31"/>
      <c r="M131" s="31"/>
      <c r="N131" s="31"/>
      <c r="O131" s="31"/>
      <c r="P131" s="44"/>
      <c r="Q131" s="31"/>
      <c r="R131" s="45"/>
      <c r="S131" s="22"/>
      <c r="T131" s="22"/>
      <c r="U131" s="13"/>
      <c r="V131" s="13"/>
      <c r="W131" s="23"/>
      <c r="X131" s="13"/>
      <c r="Y131" s="13"/>
      <c r="Z131" s="13"/>
      <c r="AA131" s="13"/>
      <c r="AB131" s="13"/>
      <c r="AC131" s="13"/>
      <c r="AD131" s="13"/>
      <c r="AE131" s="13"/>
    </row>
    <row r="132" spans="1:31" ht="20.2" customHeight="1" x14ac:dyDescent="0.3">
      <c r="A132" s="14"/>
      <c r="B132" s="41"/>
      <c r="C132" s="31"/>
      <c r="D132" s="31"/>
      <c r="E132" s="31"/>
      <c r="F132" s="32"/>
      <c r="G132" s="42"/>
      <c r="H132" s="18" t="str">
        <f>IFERROR(VLOOKUP(G132,List2!$B$2:$C$100,2,FALSE), "Kerkali xodim topilmadi")</f>
        <v>Kerkali xodim topilmadi</v>
      </c>
      <c r="I132" s="7" t="str">
        <f>IFERROR(VLOOKUP(G132,List2!$B$2:$D$100,3,FALSE), "Kerkali BO'LIM topilmadi")</f>
        <v>Kerkali BO'LIM topilmadi</v>
      </c>
      <c r="J132" s="31"/>
      <c r="K132" s="43"/>
      <c r="L132" s="31"/>
      <c r="M132" s="31"/>
      <c r="N132" s="31"/>
      <c r="O132" s="31"/>
      <c r="P132" s="44"/>
      <c r="Q132" s="31"/>
      <c r="R132" s="45"/>
      <c r="S132" s="22"/>
      <c r="T132" s="22"/>
      <c r="U132" s="13"/>
      <c r="V132" s="13"/>
      <c r="W132" s="23"/>
      <c r="X132" s="13"/>
      <c r="Y132" s="13"/>
      <c r="Z132" s="13"/>
      <c r="AA132" s="13"/>
      <c r="AB132" s="13"/>
      <c r="AC132" s="13"/>
      <c r="AD132" s="13"/>
      <c r="AE132" s="13"/>
    </row>
    <row r="133" spans="1:31" ht="20.2" customHeight="1" x14ac:dyDescent="0.3">
      <c r="A133" s="14"/>
      <c r="B133" s="41"/>
      <c r="C133" s="31"/>
      <c r="D133" s="31"/>
      <c r="E133" s="31"/>
      <c r="F133" s="32"/>
      <c r="G133" s="42"/>
      <c r="H133" s="18" t="str">
        <f>IFERROR(VLOOKUP(G133,List2!$B$2:$C$100,2,FALSE), "Kerkali xodim topilmadi")</f>
        <v>Kerkali xodim topilmadi</v>
      </c>
      <c r="I133" s="7" t="str">
        <f>IFERROR(VLOOKUP(G133,List2!$B$2:$D$100,3,FALSE), "Kerkali BO'LIM topilmadi")</f>
        <v>Kerkali BO'LIM topilmadi</v>
      </c>
      <c r="J133" s="31"/>
      <c r="K133" s="43"/>
      <c r="L133" s="31"/>
      <c r="M133" s="31"/>
      <c r="N133" s="31"/>
      <c r="O133" s="31"/>
      <c r="P133" s="44"/>
      <c r="Q133" s="31"/>
      <c r="R133" s="45"/>
      <c r="S133" s="22"/>
      <c r="T133" s="22"/>
      <c r="U133" s="13"/>
      <c r="V133" s="13"/>
      <c r="W133" s="23"/>
      <c r="X133" s="13"/>
      <c r="Y133" s="13"/>
      <c r="Z133" s="13"/>
      <c r="AA133" s="13"/>
      <c r="AB133" s="13"/>
      <c r="AC133" s="13"/>
      <c r="AD133" s="13"/>
      <c r="AE133" s="13"/>
    </row>
    <row r="134" spans="1:31" ht="20.2" customHeight="1" x14ac:dyDescent="0.3">
      <c r="A134" s="14"/>
      <c r="B134" s="41"/>
      <c r="C134" s="31"/>
      <c r="D134" s="31"/>
      <c r="E134" s="31"/>
      <c r="F134" s="32"/>
      <c r="G134" s="42"/>
      <c r="H134" s="18" t="str">
        <f>IFERROR(VLOOKUP(G134,List2!$B$2:$C$100,2,FALSE), "Kerkali xodim topilmadi")</f>
        <v>Kerkali xodim topilmadi</v>
      </c>
      <c r="I134" s="7" t="str">
        <f>IFERROR(VLOOKUP(G134,List2!$B$2:$D$100,3,FALSE), "Kerkali BO'LIM topilmadi")</f>
        <v>Kerkali BO'LIM topilmadi</v>
      </c>
      <c r="J134" s="31"/>
      <c r="K134" s="43"/>
      <c r="L134" s="31"/>
      <c r="M134" s="31"/>
      <c r="N134" s="31"/>
      <c r="O134" s="31"/>
      <c r="P134" s="44"/>
      <c r="Q134" s="31"/>
      <c r="R134" s="45"/>
      <c r="S134" s="22"/>
      <c r="T134" s="22"/>
      <c r="U134" s="13"/>
      <c r="V134" s="13"/>
      <c r="W134" s="23"/>
      <c r="X134" s="13"/>
      <c r="Y134" s="13"/>
      <c r="Z134" s="13"/>
      <c r="AA134" s="13"/>
      <c r="AB134" s="13"/>
      <c r="AC134" s="13"/>
      <c r="AD134" s="13"/>
      <c r="AE134" s="13"/>
    </row>
    <row r="135" spans="1:31" ht="20.2" customHeight="1" x14ac:dyDescent="0.3">
      <c r="A135" s="14"/>
      <c r="B135" s="41"/>
      <c r="C135" s="31"/>
      <c r="D135" s="31"/>
      <c r="E135" s="31"/>
      <c r="F135" s="32"/>
      <c r="G135" s="42"/>
      <c r="H135" s="18" t="str">
        <f>IFERROR(VLOOKUP(G135,List2!$B$2:$C$100,2,FALSE), "Kerkali xodim topilmadi")</f>
        <v>Kerkali xodim topilmadi</v>
      </c>
      <c r="I135" s="7" t="str">
        <f>IFERROR(VLOOKUP(G135,List2!$B$2:$D$100,3,FALSE), "Kerkali BO'LIM topilmadi")</f>
        <v>Kerkali BO'LIM topilmadi</v>
      </c>
      <c r="J135" s="31"/>
      <c r="K135" s="43"/>
      <c r="L135" s="31"/>
      <c r="M135" s="31"/>
      <c r="N135" s="31"/>
      <c r="O135" s="31"/>
      <c r="P135" s="44"/>
      <c r="Q135" s="31"/>
      <c r="R135" s="45"/>
      <c r="S135" s="22"/>
      <c r="T135" s="22"/>
      <c r="U135" s="13"/>
      <c r="V135" s="13"/>
      <c r="W135" s="23"/>
      <c r="X135" s="13"/>
      <c r="Y135" s="13"/>
      <c r="Z135" s="13"/>
      <c r="AA135" s="13"/>
      <c r="AB135" s="13"/>
      <c r="AC135" s="13"/>
      <c r="AD135" s="13"/>
      <c r="AE135" s="13"/>
    </row>
    <row r="136" spans="1:31" ht="20.2" customHeight="1" x14ac:dyDescent="0.3">
      <c r="A136" s="14"/>
      <c r="B136" s="41"/>
      <c r="C136" s="31"/>
      <c r="D136" s="31"/>
      <c r="E136" s="31"/>
      <c r="F136" s="32"/>
      <c r="G136" s="42"/>
      <c r="H136" s="18" t="str">
        <f>IFERROR(VLOOKUP(G136,List2!$B$2:$C$100,2,FALSE), "Kerkali xodim topilmadi")</f>
        <v>Kerkali xodim topilmadi</v>
      </c>
      <c r="I136" s="7" t="str">
        <f>IFERROR(VLOOKUP(G136,List2!$B$2:$D$100,3,FALSE), "Kerkali BO'LIM topilmadi")</f>
        <v>Kerkali BO'LIM topilmadi</v>
      </c>
      <c r="J136" s="31"/>
      <c r="K136" s="43"/>
      <c r="L136" s="31"/>
      <c r="M136" s="31"/>
      <c r="N136" s="31"/>
      <c r="O136" s="31"/>
      <c r="P136" s="44"/>
      <c r="Q136" s="31"/>
      <c r="R136" s="45"/>
      <c r="S136" s="22"/>
      <c r="T136" s="22"/>
      <c r="U136" s="13"/>
      <c r="V136" s="13"/>
      <c r="W136" s="23"/>
      <c r="X136" s="13"/>
      <c r="Y136" s="13"/>
      <c r="Z136" s="13"/>
      <c r="AA136" s="13"/>
      <c r="AB136" s="13"/>
      <c r="AC136" s="13"/>
      <c r="AD136" s="13"/>
      <c r="AE136" s="13"/>
    </row>
    <row r="137" spans="1:31" ht="20.2" customHeight="1" x14ac:dyDescent="0.3">
      <c r="A137" s="14"/>
      <c r="B137" s="41"/>
      <c r="C137" s="31"/>
      <c r="D137" s="31"/>
      <c r="E137" s="31"/>
      <c r="F137" s="32"/>
      <c r="G137" s="42"/>
      <c r="H137" s="18" t="str">
        <f>IFERROR(VLOOKUP(G137,List2!$B$2:$C$100,2,FALSE), "Kerkali xodim topilmadi")</f>
        <v>Kerkali xodim topilmadi</v>
      </c>
      <c r="I137" s="7" t="str">
        <f>IFERROR(VLOOKUP(G137,List2!$B$2:$D$100,3,FALSE), "Kerkali BO'LIM topilmadi")</f>
        <v>Kerkali BO'LIM topilmadi</v>
      </c>
      <c r="J137" s="31"/>
      <c r="K137" s="43"/>
      <c r="L137" s="31"/>
      <c r="M137" s="31"/>
      <c r="N137" s="31"/>
      <c r="O137" s="31"/>
      <c r="P137" s="44"/>
      <c r="Q137" s="31"/>
      <c r="R137" s="45"/>
      <c r="S137" s="22"/>
      <c r="T137" s="22"/>
      <c r="U137" s="13"/>
      <c r="V137" s="13"/>
      <c r="W137" s="23"/>
      <c r="X137" s="13"/>
      <c r="Y137" s="13"/>
      <c r="Z137" s="13"/>
      <c r="AA137" s="13"/>
      <c r="AB137" s="13"/>
      <c r="AC137" s="13"/>
      <c r="AD137" s="13"/>
      <c r="AE137" s="13"/>
    </row>
    <row r="138" spans="1:31" ht="20.2" customHeight="1" x14ac:dyDescent="0.3">
      <c r="A138" s="14"/>
      <c r="B138" s="41"/>
      <c r="C138" s="31"/>
      <c r="D138" s="31"/>
      <c r="E138" s="31"/>
      <c r="F138" s="32"/>
      <c r="G138" s="42"/>
      <c r="H138" s="18" t="str">
        <f>IFERROR(VLOOKUP(G138,List2!$B$2:$C$100,2,FALSE), "Kerkali xodim topilmadi")</f>
        <v>Kerkali xodim topilmadi</v>
      </c>
      <c r="I138" s="7" t="str">
        <f>IFERROR(VLOOKUP(G138,List2!$B$2:$D$100,3,FALSE), "Kerkali BO'LIM topilmadi")</f>
        <v>Kerkali BO'LIM topilmadi</v>
      </c>
      <c r="J138" s="31"/>
      <c r="K138" s="43"/>
      <c r="L138" s="31"/>
      <c r="M138" s="31"/>
      <c r="N138" s="31"/>
      <c r="O138" s="31"/>
      <c r="P138" s="44"/>
      <c r="Q138" s="31"/>
      <c r="R138" s="45"/>
      <c r="S138" s="22"/>
      <c r="T138" s="22"/>
      <c r="U138" s="13"/>
      <c r="V138" s="13"/>
      <c r="W138" s="23"/>
      <c r="X138" s="13"/>
      <c r="Y138" s="13"/>
      <c r="Z138" s="13"/>
      <c r="AA138" s="13"/>
      <c r="AB138" s="13"/>
      <c r="AC138" s="13"/>
      <c r="AD138" s="13"/>
      <c r="AE138" s="13"/>
    </row>
    <row r="139" spans="1:31" ht="20.2" customHeight="1" x14ac:dyDescent="0.3">
      <c r="A139" s="14"/>
      <c r="B139" s="41"/>
      <c r="C139" s="31"/>
      <c r="D139" s="31"/>
      <c r="E139" s="31"/>
      <c r="F139" s="32"/>
      <c r="G139" s="42"/>
      <c r="H139" s="18" t="str">
        <f>IFERROR(VLOOKUP(G139,List2!$B$2:$C$100,2,FALSE), "Kerkali xodim topilmadi")</f>
        <v>Kerkali xodim topilmadi</v>
      </c>
      <c r="I139" s="7" t="str">
        <f>IFERROR(VLOOKUP(G139,List2!$B$2:$D$100,3,FALSE), "Kerkali BO'LIM topilmadi")</f>
        <v>Kerkali BO'LIM topilmadi</v>
      </c>
      <c r="J139" s="31"/>
      <c r="K139" s="43"/>
      <c r="L139" s="31"/>
      <c r="M139" s="31"/>
      <c r="N139" s="31"/>
      <c r="O139" s="31"/>
      <c r="P139" s="44"/>
      <c r="Q139" s="31"/>
      <c r="R139" s="45"/>
      <c r="S139" s="22"/>
      <c r="T139" s="22"/>
      <c r="U139" s="13"/>
      <c r="V139" s="13"/>
      <c r="W139" s="23"/>
      <c r="X139" s="13"/>
      <c r="Y139" s="13"/>
      <c r="Z139" s="13"/>
      <c r="AA139" s="13"/>
      <c r="AB139" s="13"/>
      <c r="AC139" s="13"/>
      <c r="AD139" s="13"/>
      <c r="AE139" s="13"/>
    </row>
    <row r="140" spans="1:31" ht="20.2" customHeight="1" x14ac:dyDescent="0.3">
      <c r="A140" s="14"/>
      <c r="B140" s="41"/>
      <c r="C140" s="31"/>
      <c r="D140" s="31"/>
      <c r="E140" s="31"/>
      <c r="F140" s="32"/>
      <c r="G140" s="42"/>
      <c r="H140" s="18" t="str">
        <f>IFERROR(VLOOKUP(G140,List2!$B$2:$C$100,2,FALSE), "Kerkali xodim topilmadi")</f>
        <v>Kerkali xodim topilmadi</v>
      </c>
      <c r="I140" s="7" t="str">
        <f>IFERROR(VLOOKUP(G140,List2!$B$2:$D$100,3,FALSE), "Kerkali BO'LIM topilmadi")</f>
        <v>Kerkali BO'LIM topilmadi</v>
      </c>
      <c r="J140" s="31"/>
      <c r="K140" s="43"/>
      <c r="L140" s="31"/>
      <c r="M140" s="31"/>
      <c r="N140" s="31"/>
      <c r="O140" s="31"/>
      <c r="P140" s="44"/>
      <c r="Q140" s="31"/>
      <c r="R140" s="45"/>
      <c r="S140" s="22"/>
      <c r="T140" s="22"/>
      <c r="U140" s="13"/>
      <c r="V140" s="13"/>
      <c r="W140" s="23"/>
      <c r="X140" s="13"/>
      <c r="Y140" s="13"/>
      <c r="Z140" s="13"/>
      <c r="AA140" s="13"/>
      <c r="AB140" s="13"/>
      <c r="AC140" s="13"/>
      <c r="AD140" s="13"/>
      <c r="AE140" s="13"/>
    </row>
    <row r="141" spans="1:31" ht="20.2" customHeight="1" x14ac:dyDescent="0.3">
      <c r="A141" s="14"/>
      <c r="B141" s="41"/>
      <c r="C141" s="31"/>
      <c r="D141" s="31"/>
      <c r="E141" s="31"/>
      <c r="F141" s="32"/>
      <c r="G141" s="42"/>
      <c r="H141" s="18" t="str">
        <f>IFERROR(VLOOKUP(G141,List2!$B$2:$C$100,2,FALSE), "Kerkali xodim topilmadi")</f>
        <v>Kerkali xodim topilmadi</v>
      </c>
      <c r="I141" s="7" t="str">
        <f>IFERROR(VLOOKUP(G141,List2!$B$2:$D$100,3,FALSE), "Kerkali BO'LIM topilmadi")</f>
        <v>Kerkali BO'LIM topilmadi</v>
      </c>
      <c r="J141" s="31"/>
      <c r="K141" s="43"/>
      <c r="L141" s="31"/>
      <c r="M141" s="31"/>
      <c r="N141" s="31"/>
      <c r="O141" s="31"/>
      <c r="P141" s="44"/>
      <c r="Q141" s="31"/>
      <c r="R141" s="45"/>
      <c r="S141" s="22"/>
      <c r="T141" s="22"/>
      <c r="U141" s="13"/>
      <c r="V141" s="13"/>
      <c r="W141" s="23"/>
      <c r="X141" s="13"/>
      <c r="Y141" s="13"/>
      <c r="Z141" s="13"/>
      <c r="AA141" s="13"/>
      <c r="AB141" s="13"/>
      <c r="AC141" s="13"/>
      <c r="AD141" s="13"/>
      <c r="AE141" s="13"/>
    </row>
    <row r="142" spans="1:31" ht="20.2" customHeight="1" x14ac:dyDescent="0.3">
      <c r="A142" s="14"/>
      <c r="B142" s="41"/>
      <c r="C142" s="31"/>
      <c r="D142" s="31"/>
      <c r="E142" s="31"/>
      <c r="F142" s="32"/>
      <c r="G142" s="42"/>
      <c r="H142" s="18" t="str">
        <f>IFERROR(VLOOKUP(G142,List2!$B$2:$C$100,2,FALSE), "Kerkali xodim topilmadi")</f>
        <v>Kerkali xodim topilmadi</v>
      </c>
      <c r="I142" s="7" t="str">
        <f>IFERROR(VLOOKUP(G142,List2!$B$2:$D$100,3,FALSE), "Kerkali BO'LIM topilmadi")</f>
        <v>Kerkali BO'LIM topilmadi</v>
      </c>
      <c r="J142" s="31"/>
      <c r="K142" s="43"/>
      <c r="L142" s="31"/>
      <c r="M142" s="31"/>
      <c r="N142" s="31"/>
      <c r="O142" s="31"/>
      <c r="P142" s="44"/>
      <c r="Q142" s="31"/>
      <c r="R142" s="45"/>
      <c r="S142" s="22"/>
      <c r="T142" s="22"/>
      <c r="U142" s="13"/>
      <c r="V142" s="13"/>
      <c r="W142" s="23"/>
      <c r="X142" s="13"/>
      <c r="Y142" s="13"/>
      <c r="Z142" s="13"/>
      <c r="AA142" s="13"/>
      <c r="AB142" s="13"/>
      <c r="AC142" s="13"/>
      <c r="AD142" s="13"/>
      <c r="AE142" s="13"/>
    </row>
    <row r="143" spans="1:31" ht="20.2" customHeight="1" x14ac:dyDescent="0.3">
      <c r="A143" s="14"/>
      <c r="B143" s="41"/>
      <c r="C143" s="31"/>
      <c r="D143" s="31"/>
      <c r="E143" s="31"/>
      <c r="F143" s="32"/>
      <c r="G143" s="42"/>
      <c r="H143" s="18" t="str">
        <f>IFERROR(VLOOKUP(G143,List2!$B$2:$C$100,2,FALSE), "Kerkali xodim topilmadi")</f>
        <v>Kerkali xodim topilmadi</v>
      </c>
      <c r="I143" s="7" t="str">
        <f>IFERROR(VLOOKUP(G143,List2!$B$2:$D$100,3,FALSE), "Kerkali BO'LIM topilmadi")</f>
        <v>Kerkali BO'LIM topilmadi</v>
      </c>
      <c r="J143" s="31"/>
      <c r="K143" s="43"/>
      <c r="L143" s="31"/>
      <c r="M143" s="31"/>
      <c r="N143" s="31"/>
      <c r="O143" s="31"/>
      <c r="P143" s="44"/>
      <c r="Q143" s="31"/>
      <c r="R143" s="45"/>
      <c r="S143" s="22"/>
      <c r="T143" s="22"/>
      <c r="U143" s="13"/>
      <c r="V143" s="13"/>
      <c r="W143" s="23"/>
      <c r="X143" s="13"/>
      <c r="Y143" s="13"/>
      <c r="Z143" s="13"/>
      <c r="AA143" s="13"/>
      <c r="AB143" s="13"/>
      <c r="AC143" s="13"/>
      <c r="AD143" s="13"/>
      <c r="AE143" s="13"/>
    </row>
    <row r="144" spans="1:31" ht="20.2" customHeight="1" x14ac:dyDescent="0.3">
      <c r="A144" s="14"/>
      <c r="B144" s="41"/>
      <c r="C144" s="31"/>
      <c r="D144" s="31"/>
      <c r="E144" s="31"/>
      <c r="F144" s="32"/>
      <c r="G144" s="42"/>
      <c r="H144" s="18" t="str">
        <f>IFERROR(VLOOKUP(G144,List2!$B$2:$C$100,2,FALSE), "Kerkali xodim topilmadi")</f>
        <v>Kerkali xodim topilmadi</v>
      </c>
      <c r="I144" s="7" t="str">
        <f>IFERROR(VLOOKUP(G144,List2!$B$2:$D$100,3,FALSE), "Kerkali BO'LIM topilmadi")</f>
        <v>Kerkali BO'LIM topilmadi</v>
      </c>
      <c r="J144" s="31"/>
      <c r="K144" s="43"/>
      <c r="L144" s="31"/>
      <c r="M144" s="31"/>
      <c r="N144" s="31"/>
      <c r="O144" s="31"/>
      <c r="P144" s="44"/>
      <c r="Q144" s="31"/>
      <c r="R144" s="45"/>
      <c r="S144" s="22"/>
      <c r="T144" s="22"/>
      <c r="U144" s="13"/>
      <c r="V144" s="13"/>
      <c r="W144" s="23"/>
      <c r="X144" s="13"/>
      <c r="Y144" s="13"/>
      <c r="Z144" s="13"/>
      <c r="AA144" s="13"/>
      <c r="AB144" s="13"/>
      <c r="AC144" s="13"/>
      <c r="AD144" s="13"/>
      <c r="AE144" s="13"/>
    </row>
    <row r="145" spans="1:31" ht="20.2" customHeight="1" x14ac:dyDescent="0.3">
      <c r="A145" s="14"/>
      <c r="B145" s="41"/>
      <c r="C145" s="31"/>
      <c r="D145" s="31"/>
      <c r="E145" s="31"/>
      <c r="F145" s="32"/>
      <c r="G145" s="42"/>
      <c r="H145" s="18" t="str">
        <f>IFERROR(VLOOKUP(G145,List2!$B$2:$C$100,2,FALSE), "Kerkali xodim topilmadi")</f>
        <v>Kerkali xodim topilmadi</v>
      </c>
      <c r="I145" s="7" t="str">
        <f>IFERROR(VLOOKUP(G145,List2!$B$2:$D$100,3,FALSE), "Kerkali BO'LIM topilmadi")</f>
        <v>Kerkali BO'LIM topilmadi</v>
      </c>
      <c r="J145" s="31"/>
      <c r="K145" s="43"/>
      <c r="L145" s="31"/>
      <c r="M145" s="31"/>
      <c r="N145" s="31"/>
      <c r="O145" s="31"/>
      <c r="P145" s="44"/>
      <c r="Q145" s="31"/>
      <c r="R145" s="45"/>
      <c r="S145" s="22"/>
      <c r="T145" s="22"/>
      <c r="U145" s="13"/>
      <c r="V145" s="13"/>
      <c r="W145" s="23"/>
      <c r="X145" s="13"/>
      <c r="Y145" s="13"/>
      <c r="Z145" s="13"/>
      <c r="AA145" s="13"/>
      <c r="AB145" s="13"/>
      <c r="AC145" s="13"/>
      <c r="AD145" s="13"/>
      <c r="AE145" s="13"/>
    </row>
    <row r="146" spans="1:31" ht="20.2" customHeight="1" x14ac:dyDescent="0.3">
      <c r="A146" s="14"/>
      <c r="B146" s="41"/>
      <c r="C146" s="31"/>
      <c r="D146" s="31"/>
      <c r="E146" s="31"/>
      <c r="F146" s="32"/>
      <c r="G146" s="42"/>
      <c r="H146" s="18" t="str">
        <f>IFERROR(VLOOKUP(G146,List2!$B$2:$C$100,2,FALSE), "Kerkali xodim topilmadi")</f>
        <v>Kerkali xodim topilmadi</v>
      </c>
      <c r="I146" s="7" t="str">
        <f>IFERROR(VLOOKUP(G146,List2!$B$2:$D$100,3,FALSE), "Kerkali BO'LIM topilmadi")</f>
        <v>Kerkali BO'LIM topilmadi</v>
      </c>
      <c r="J146" s="31"/>
      <c r="K146" s="43"/>
      <c r="L146" s="31"/>
      <c r="M146" s="31"/>
      <c r="N146" s="31"/>
      <c r="O146" s="31"/>
      <c r="P146" s="44"/>
      <c r="Q146" s="31"/>
      <c r="R146" s="45"/>
      <c r="S146" s="22"/>
      <c r="T146" s="22"/>
      <c r="U146" s="13"/>
      <c r="V146" s="13"/>
      <c r="W146" s="23"/>
      <c r="X146" s="13"/>
      <c r="Y146" s="13"/>
      <c r="Z146" s="13"/>
      <c r="AA146" s="13"/>
      <c r="AB146" s="13"/>
      <c r="AC146" s="13"/>
      <c r="AD146" s="13"/>
      <c r="AE146" s="13"/>
    </row>
    <row r="147" spans="1:31" ht="20.2" customHeight="1" x14ac:dyDescent="0.3">
      <c r="A147" s="14"/>
      <c r="B147" s="41"/>
      <c r="C147" s="31"/>
      <c r="D147" s="31"/>
      <c r="E147" s="31"/>
      <c r="F147" s="32"/>
      <c r="G147" s="42"/>
      <c r="H147" s="18" t="str">
        <f>IFERROR(VLOOKUP(G147,List2!$B$2:$C$100,2,FALSE), "Kerkali xodim topilmadi")</f>
        <v>Kerkali xodim topilmadi</v>
      </c>
      <c r="I147" s="7" t="str">
        <f>IFERROR(VLOOKUP(G147,List2!$B$2:$D$100,3,FALSE), "Kerkali BO'LIM topilmadi")</f>
        <v>Kerkali BO'LIM topilmadi</v>
      </c>
      <c r="J147" s="31"/>
      <c r="K147" s="43"/>
      <c r="L147" s="31"/>
      <c r="M147" s="31"/>
      <c r="N147" s="31"/>
      <c r="O147" s="31"/>
      <c r="P147" s="44"/>
      <c r="Q147" s="31"/>
      <c r="R147" s="45"/>
      <c r="S147" s="22"/>
      <c r="T147" s="22"/>
      <c r="U147" s="13"/>
      <c r="V147" s="13"/>
      <c r="W147" s="23"/>
      <c r="X147" s="13"/>
      <c r="Y147" s="13"/>
      <c r="Z147" s="13"/>
      <c r="AA147" s="13"/>
      <c r="AB147" s="13"/>
      <c r="AC147" s="13"/>
      <c r="AD147" s="13"/>
      <c r="AE147" s="13"/>
    </row>
    <row r="148" spans="1:31" ht="20.2" customHeight="1" x14ac:dyDescent="0.3">
      <c r="A148" s="14"/>
      <c r="B148" s="41"/>
      <c r="C148" s="31"/>
      <c r="D148" s="31"/>
      <c r="E148" s="31"/>
      <c r="F148" s="32"/>
      <c r="G148" s="42"/>
      <c r="H148" s="18" t="str">
        <f>IFERROR(VLOOKUP(G148,List2!$B$2:$C$100,2,FALSE), "Kerkali xodim topilmadi")</f>
        <v>Kerkali xodim topilmadi</v>
      </c>
      <c r="I148" s="7" t="str">
        <f>IFERROR(VLOOKUP(G148,List2!$B$2:$D$100,3,FALSE), "Kerkali BO'LIM topilmadi")</f>
        <v>Kerkali BO'LIM topilmadi</v>
      </c>
      <c r="J148" s="31"/>
      <c r="K148" s="43"/>
      <c r="L148" s="31"/>
      <c r="M148" s="31"/>
      <c r="N148" s="31"/>
      <c r="O148" s="31"/>
      <c r="P148" s="44"/>
      <c r="Q148" s="31"/>
      <c r="R148" s="45"/>
      <c r="S148" s="22"/>
      <c r="T148" s="22"/>
      <c r="U148" s="13"/>
      <c r="V148" s="13"/>
      <c r="W148" s="23"/>
      <c r="X148" s="13"/>
      <c r="Y148" s="13"/>
      <c r="Z148" s="13"/>
      <c r="AA148" s="13"/>
      <c r="AB148" s="13"/>
      <c r="AC148" s="13"/>
      <c r="AD148" s="13"/>
      <c r="AE148" s="13"/>
    </row>
    <row r="149" spans="1:31" ht="20.2" customHeight="1" x14ac:dyDescent="0.3">
      <c r="A149" s="14"/>
      <c r="B149" s="41"/>
      <c r="C149" s="31"/>
      <c r="D149" s="31"/>
      <c r="E149" s="31"/>
      <c r="F149" s="32"/>
      <c r="G149" s="42"/>
      <c r="H149" s="18" t="str">
        <f>IFERROR(VLOOKUP(G149,List2!$B$2:$C$100,2,FALSE), "Kerkali xodim topilmadi")</f>
        <v>Kerkali xodim topilmadi</v>
      </c>
      <c r="I149" s="7" t="str">
        <f>IFERROR(VLOOKUP(G149,List2!$B$2:$D$100,3,FALSE), "Kerkali BO'LIM topilmadi")</f>
        <v>Kerkali BO'LIM topilmadi</v>
      </c>
      <c r="J149" s="31"/>
      <c r="K149" s="43"/>
      <c r="L149" s="31"/>
      <c r="M149" s="31"/>
      <c r="N149" s="31"/>
      <c r="O149" s="31"/>
      <c r="P149" s="44"/>
      <c r="Q149" s="31"/>
      <c r="R149" s="45"/>
      <c r="S149" s="22"/>
      <c r="T149" s="22"/>
      <c r="U149" s="13"/>
      <c r="V149" s="13"/>
      <c r="W149" s="23"/>
      <c r="X149" s="13"/>
      <c r="Y149" s="13"/>
      <c r="Z149" s="13"/>
      <c r="AA149" s="13"/>
      <c r="AB149" s="13"/>
      <c r="AC149" s="13"/>
      <c r="AD149" s="13"/>
      <c r="AE149" s="13"/>
    </row>
    <row r="150" spans="1:31" ht="20.2" customHeight="1" x14ac:dyDescent="0.3">
      <c r="A150" s="14"/>
      <c r="B150" s="41"/>
      <c r="C150" s="31"/>
      <c r="D150" s="31"/>
      <c r="E150" s="31"/>
      <c r="F150" s="32"/>
      <c r="G150" s="42"/>
      <c r="H150" s="18" t="str">
        <f>IFERROR(VLOOKUP(G150,List2!$B$2:$C$100,2,FALSE), "Kerkali xodim topilmadi")</f>
        <v>Kerkali xodim topilmadi</v>
      </c>
      <c r="I150" s="7" t="str">
        <f>IFERROR(VLOOKUP(G150,List2!$B$2:$D$100,3,FALSE), "Kerkali BO'LIM topilmadi")</f>
        <v>Kerkali BO'LIM topilmadi</v>
      </c>
      <c r="J150" s="31"/>
      <c r="K150" s="43"/>
      <c r="L150" s="31"/>
      <c r="M150" s="31"/>
      <c r="N150" s="31"/>
      <c r="O150" s="31"/>
      <c r="P150" s="44"/>
      <c r="Q150" s="31"/>
      <c r="R150" s="45"/>
      <c r="S150" s="22"/>
      <c r="T150" s="22"/>
      <c r="U150" s="13"/>
      <c r="V150" s="13"/>
      <c r="W150" s="23"/>
      <c r="X150" s="13"/>
      <c r="Y150" s="13"/>
      <c r="Z150" s="13"/>
      <c r="AA150" s="13"/>
      <c r="AB150" s="13"/>
      <c r="AC150" s="13"/>
      <c r="AD150" s="13"/>
      <c r="AE150" s="13"/>
    </row>
    <row r="151" spans="1:31" ht="20.2" customHeight="1" x14ac:dyDescent="0.3">
      <c r="A151" s="14"/>
      <c r="B151" s="41"/>
      <c r="C151" s="31"/>
      <c r="D151" s="31"/>
      <c r="E151" s="31"/>
      <c r="F151" s="32"/>
      <c r="G151" s="42"/>
      <c r="H151" s="18" t="str">
        <f>IFERROR(VLOOKUP(G151,List2!$B$2:$C$100,2,FALSE), "Kerkali xodim topilmadi")</f>
        <v>Kerkali xodim topilmadi</v>
      </c>
      <c r="I151" s="7" t="str">
        <f>IFERROR(VLOOKUP(G151,List2!$B$2:$D$100,3,FALSE), "Kerkali BO'LIM topilmadi")</f>
        <v>Kerkali BO'LIM topilmadi</v>
      </c>
      <c r="J151" s="31"/>
      <c r="K151" s="43"/>
      <c r="L151" s="31"/>
      <c r="M151" s="31"/>
      <c r="N151" s="31"/>
      <c r="O151" s="31"/>
      <c r="P151" s="44"/>
      <c r="Q151" s="31"/>
      <c r="R151" s="45"/>
      <c r="S151" s="22"/>
      <c r="T151" s="22"/>
      <c r="U151" s="13"/>
      <c r="V151" s="13"/>
      <c r="W151" s="23"/>
      <c r="X151" s="13"/>
      <c r="Y151" s="13"/>
      <c r="Z151" s="13"/>
      <c r="AA151" s="13"/>
      <c r="AB151" s="13"/>
      <c r="AC151" s="13"/>
      <c r="AD151" s="13"/>
      <c r="AE151" s="13"/>
    </row>
    <row r="152" spans="1:31" ht="20.2" customHeight="1" x14ac:dyDescent="0.3">
      <c r="A152" s="14"/>
      <c r="B152" s="41"/>
      <c r="C152" s="31"/>
      <c r="D152" s="31"/>
      <c r="E152" s="31"/>
      <c r="F152" s="32"/>
      <c r="G152" s="42"/>
      <c r="H152" s="18" t="str">
        <f>IFERROR(VLOOKUP(G152,List2!$B$2:$C$100,2,FALSE), "Kerkali xodim topilmadi")</f>
        <v>Kerkali xodim topilmadi</v>
      </c>
      <c r="I152" s="7" t="str">
        <f>IFERROR(VLOOKUP(G152,List2!$B$2:$D$100,3,FALSE), "Kerkali BO'LIM topilmadi")</f>
        <v>Kerkali BO'LIM topilmadi</v>
      </c>
      <c r="J152" s="31"/>
      <c r="K152" s="43"/>
      <c r="L152" s="31"/>
      <c r="M152" s="31"/>
      <c r="N152" s="31"/>
      <c r="O152" s="31"/>
      <c r="P152" s="44"/>
      <c r="Q152" s="31"/>
      <c r="R152" s="45"/>
      <c r="S152" s="22"/>
      <c r="T152" s="22"/>
      <c r="U152" s="13"/>
      <c r="V152" s="13"/>
      <c r="W152" s="23"/>
      <c r="X152" s="13"/>
      <c r="Y152" s="13"/>
      <c r="Z152" s="13"/>
      <c r="AA152" s="13"/>
      <c r="AB152" s="13"/>
      <c r="AC152" s="13"/>
      <c r="AD152" s="13"/>
      <c r="AE152" s="13"/>
    </row>
    <row r="153" spans="1:31" ht="20.2" customHeight="1" x14ac:dyDescent="0.3">
      <c r="A153" s="14"/>
      <c r="B153" s="41"/>
      <c r="C153" s="31"/>
      <c r="D153" s="31"/>
      <c r="E153" s="31"/>
      <c r="F153" s="32"/>
      <c r="G153" s="42"/>
      <c r="H153" s="18" t="str">
        <f>IFERROR(VLOOKUP(G153,List2!$B$2:$C$100,2,FALSE), "Kerkali xodim topilmadi")</f>
        <v>Kerkali xodim topilmadi</v>
      </c>
      <c r="I153" s="7" t="str">
        <f>IFERROR(VLOOKUP(G153,List2!$B$2:$D$100,3,FALSE), "Kerkali BO'LIM topilmadi")</f>
        <v>Kerkali BO'LIM topilmadi</v>
      </c>
      <c r="J153" s="31"/>
      <c r="K153" s="43"/>
      <c r="L153" s="31"/>
      <c r="M153" s="31"/>
      <c r="N153" s="31"/>
      <c r="O153" s="31"/>
      <c r="P153" s="44"/>
      <c r="Q153" s="31"/>
      <c r="R153" s="45"/>
      <c r="S153" s="22"/>
      <c r="T153" s="22"/>
      <c r="U153" s="13"/>
      <c r="V153" s="13"/>
      <c r="W153" s="23"/>
      <c r="X153" s="13"/>
      <c r="Y153" s="13"/>
      <c r="Z153" s="13"/>
      <c r="AA153" s="13"/>
      <c r="AB153" s="13"/>
      <c r="AC153" s="13"/>
      <c r="AD153" s="13"/>
      <c r="AE153" s="13"/>
    </row>
    <row r="154" spans="1:31" ht="20.2" customHeight="1" x14ac:dyDescent="0.3">
      <c r="A154" s="14"/>
      <c r="B154" s="41"/>
      <c r="C154" s="31"/>
      <c r="D154" s="31"/>
      <c r="E154" s="31"/>
      <c r="F154" s="32"/>
      <c r="G154" s="42"/>
      <c r="H154" s="18" t="str">
        <f>IFERROR(VLOOKUP(G154,List2!$B$2:$C$100,2,FALSE), "Kerkali xodim topilmadi")</f>
        <v>Kerkali xodim topilmadi</v>
      </c>
      <c r="I154" s="7" t="str">
        <f>IFERROR(VLOOKUP(G154,List2!$B$2:$D$100,3,FALSE), "Kerkali BO'LIM topilmadi")</f>
        <v>Kerkali BO'LIM topilmadi</v>
      </c>
      <c r="J154" s="31"/>
      <c r="K154" s="43"/>
      <c r="L154" s="31"/>
      <c r="M154" s="31"/>
      <c r="N154" s="31"/>
      <c r="O154" s="31"/>
      <c r="P154" s="44"/>
      <c r="Q154" s="31"/>
      <c r="R154" s="45"/>
      <c r="S154" s="22"/>
      <c r="T154" s="22"/>
      <c r="U154" s="13"/>
      <c r="V154" s="13"/>
      <c r="W154" s="23"/>
      <c r="X154" s="13"/>
      <c r="Y154" s="13"/>
      <c r="Z154" s="13"/>
      <c r="AA154" s="13"/>
      <c r="AB154" s="13"/>
      <c r="AC154" s="13"/>
      <c r="AD154" s="13"/>
      <c r="AE154" s="13"/>
    </row>
    <row r="155" spans="1:31" ht="20.2" customHeight="1" x14ac:dyDescent="0.3">
      <c r="A155" s="14"/>
      <c r="B155" s="41"/>
      <c r="C155" s="31"/>
      <c r="D155" s="31"/>
      <c r="E155" s="31"/>
      <c r="F155" s="32"/>
      <c r="G155" s="42"/>
      <c r="H155" s="18" t="str">
        <f>IFERROR(VLOOKUP(G155,List2!$B$2:$C$100,2,FALSE), "Kerkali xodim topilmadi")</f>
        <v>Kerkali xodim topilmadi</v>
      </c>
      <c r="I155" s="7" t="str">
        <f>IFERROR(VLOOKUP(G155,List2!$B$2:$D$100,3,FALSE), "Kerkali BO'LIM topilmadi")</f>
        <v>Kerkali BO'LIM topilmadi</v>
      </c>
      <c r="J155" s="31"/>
      <c r="K155" s="43"/>
      <c r="L155" s="31"/>
      <c r="M155" s="31"/>
      <c r="N155" s="31"/>
      <c r="O155" s="31"/>
      <c r="P155" s="44"/>
      <c r="Q155" s="31"/>
      <c r="R155" s="45"/>
      <c r="S155" s="22"/>
      <c r="T155" s="22"/>
      <c r="U155" s="13"/>
      <c r="V155" s="13"/>
      <c r="W155" s="23"/>
      <c r="X155" s="13"/>
      <c r="Y155" s="13"/>
      <c r="Z155" s="13"/>
      <c r="AA155" s="13"/>
      <c r="AB155" s="13"/>
      <c r="AC155" s="13"/>
      <c r="AD155" s="13"/>
      <c r="AE155" s="13"/>
    </row>
    <row r="156" spans="1:31" ht="20.2" customHeight="1" x14ac:dyDescent="0.3">
      <c r="A156" s="14"/>
      <c r="B156" s="41"/>
      <c r="C156" s="31"/>
      <c r="D156" s="31"/>
      <c r="E156" s="31"/>
      <c r="F156" s="32"/>
      <c r="G156" s="42"/>
      <c r="H156" s="18" t="str">
        <f>IFERROR(VLOOKUP(G156,List2!$B$2:$C$100,2,FALSE), "Kerkali xodim topilmadi")</f>
        <v>Kerkali xodim topilmadi</v>
      </c>
      <c r="I156" s="7" t="str">
        <f>IFERROR(VLOOKUP(G156,List2!$B$2:$D$100,3,FALSE), "Kerkali BO'LIM topilmadi")</f>
        <v>Kerkali BO'LIM topilmadi</v>
      </c>
      <c r="J156" s="31"/>
      <c r="K156" s="43"/>
      <c r="L156" s="31"/>
      <c r="M156" s="31"/>
      <c r="N156" s="31"/>
      <c r="O156" s="31"/>
      <c r="P156" s="44"/>
      <c r="Q156" s="31"/>
      <c r="R156" s="45"/>
      <c r="S156" s="22"/>
      <c r="T156" s="22"/>
      <c r="U156" s="13"/>
      <c r="V156" s="13"/>
      <c r="W156" s="23"/>
      <c r="X156" s="13"/>
      <c r="Y156" s="13"/>
      <c r="Z156" s="13"/>
      <c r="AA156" s="13"/>
      <c r="AB156" s="13"/>
      <c r="AC156" s="13"/>
      <c r="AD156" s="13"/>
      <c r="AE156" s="13"/>
    </row>
    <row r="157" spans="1:31" ht="20.2" customHeight="1" x14ac:dyDescent="0.3">
      <c r="A157" s="14"/>
      <c r="B157" s="41"/>
      <c r="C157" s="31"/>
      <c r="D157" s="31"/>
      <c r="E157" s="31"/>
      <c r="F157" s="32"/>
      <c r="G157" s="42"/>
      <c r="H157" s="18" t="str">
        <f>IFERROR(VLOOKUP(G157,List2!$B$2:$C$100,2,FALSE), "Kerkali xodim topilmadi")</f>
        <v>Kerkali xodim topilmadi</v>
      </c>
      <c r="I157" s="7" t="str">
        <f>IFERROR(VLOOKUP(G157,List2!$B$2:$D$100,3,FALSE), "Kerkali BO'LIM topilmadi")</f>
        <v>Kerkali BO'LIM topilmadi</v>
      </c>
      <c r="J157" s="31"/>
      <c r="K157" s="43"/>
      <c r="L157" s="31"/>
      <c r="M157" s="31"/>
      <c r="N157" s="31"/>
      <c r="O157" s="31"/>
      <c r="P157" s="44"/>
      <c r="Q157" s="31"/>
      <c r="R157" s="45"/>
      <c r="S157" s="22"/>
      <c r="T157" s="22"/>
      <c r="U157" s="13"/>
      <c r="V157" s="13"/>
      <c r="W157" s="23"/>
      <c r="X157" s="13"/>
      <c r="Y157" s="13"/>
      <c r="Z157" s="13"/>
      <c r="AA157" s="13"/>
      <c r="AB157" s="13"/>
      <c r="AC157" s="13"/>
      <c r="AD157" s="13"/>
      <c r="AE157" s="13"/>
    </row>
    <row r="158" spans="1:31" ht="20.2" customHeight="1" x14ac:dyDescent="0.3">
      <c r="A158" s="14"/>
      <c r="B158" s="41"/>
      <c r="C158" s="31"/>
      <c r="D158" s="31"/>
      <c r="E158" s="31"/>
      <c r="F158" s="32"/>
      <c r="G158" s="42"/>
      <c r="H158" s="18" t="str">
        <f>IFERROR(VLOOKUP(G158,List2!$B$2:$C$100,2,FALSE), "Kerkali xodim topilmadi")</f>
        <v>Kerkali xodim topilmadi</v>
      </c>
      <c r="I158" s="7" t="str">
        <f>IFERROR(VLOOKUP(G158,List2!$B$2:$D$100,3,FALSE), "Kerkali BO'LIM topilmadi")</f>
        <v>Kerkali BO'LIM topilmadi</v>
      </c>
      <c r="J158" s="31"/>
      <c r="K158" s="43"/>
      <c r="L158" s="31"/>
      <c r="M158" s="31"/>
      <c r="N158" s="31"/>
      <c r="O158" s="31"/>
      <c r="P158" s="44"/>
      <c r="Q158" s="31"/>
      <c r="R158" s="45"/>
      <c r="S158" s="22"/>
      <c r="T158" s="22"/>
      <c r="U158" s="13"/>
      <c r="V158" s="13"/>
      <c r="W158" s="23"/>
      <c r="X158" s="13"/>
      <c r="Y158" s="13"/>
      <c r="Z158" s="13"/>
      <c r="AA158" s="13"/>
      <c r="AB158" s="13"/>
      <c r="AC158" s="13"/>
      <c r="AD158" s="13"/>
      <c r="AE158" s="13"/>
    </row>
    <row r="159" spans="1:31" ht="20.2" customHeight="1" x14ac:dyDescent="0.3">
      <c r="A159" s="14"/>
      <c r="B159" s="41"/>
      <c r="C159" s="31"/>
      <c r="D159" s="31"/>
      <c r="E159" s="31"/>
      <c r="F159" s="32"/>
      <c r="G159" s="42"/>
      <c r="H159" s="18" t="str">
        <f>IFERROR(VLOOKUP(G159,List2!$B$2:$C$100,2,FALSE), "Kerkali xodim topilmadi")</f>
        <v>Kerkali xodim topilmadi</v>
      </c>
      <c r="I159" s="7" t="str">
        <f>IFERROR(VLOOKUP(G159,List2!$B$2:$D$100,3,FALSE), "Kerkali BO'LIM topilmadi")</f>
        <v>Kerkali BO'LIM topilmadi</v>
      </c>
      <c r="J159" s="31"/>
      <c r="K159" s="43"/>
      <c r="L159" s="31"/>
      <c r="M159" s="31"/>
      <c r="N159" s="31"/>
      <c r="O159" s="31"/>
      <c r="P159" s="44"/>
      <c r="Q159" s="31"/>
      <c r="R159" s="45"/>
      <c r="S159" s="22"/>
      <c r="T159" s="22"/>
      <c r="U159" s="13"/>
      <c r="V159" s="13"/>
      <c r="W159" s="23"/>
      <c r="X159" s="13"/>
      <c r="Y159" s="13"/>
      <c r="Z159" s="13"/>
      <c r="AA159" s="13"/>
      <c r="AB159" s="13"/>
      <c r="AC159" s="13"/>
      <c r="AD159" s="13"/>
      <c r="AE159" s="13"/>
    </row>
    <row r="160" spans="1:31" ht="20.2" customHeight="1" x14ac:dyDescent="0.3">
      <c r="A160" s="14"/>
      <c r="B160" s="41"/>
      <c r="C160" s="31"/>
      <c r="D160" s="31"/>
      <c r="E160" s="31"/>
      <c r="F160" s="32"/>
      <c r="G160" s="42"/>
      <c r="H160" s="18" t="str">
        <f>IFERROR(VLOOKUP(G160,List2!$B$2:$C$100,2,FALSE), "Kerkali xodim topilmadi")</f>
        <v>Kerkali xodim topilmadi</v>
      </c>
      <c r="I160" s="7" t="str">
        <f>IFERROR(VLOOKUP(G160,List2!$B$2:$D$100,3,FALSE), "Kerkali BO'LIM topilmadi")</f>
        <v>Kerkali BO'LIM topilmadi</v>
      </c>
      <c r="J160" s="31"/>
      <c r="K160" s="43"/>
      <c r="L160" s="31"/>
      <c r="M160" s="31"/>
      <c r="N160" s="31"/>
      <c r="O160" s="31"/>
      <c r="P160" s="44"/>
      <c r="Q160" s="31"/>
      <c r="R160" s="45"/>
      <c r="S160" s="22"/>
      <c r="T160" s="22"/>
      <c r="U160" s="13"/>
      <c r="V160" s="13"/>
      <c r="W160" s="23"/>
      <c r="X160" s="13"/>
      <c r="Y160" s="13"/>
      <c r="Z160" s="13"/>
      <c r="AA160" s="13"/>
      <c r="AB160" s="13"/>
      <c r="AC160" s="13"/>
      <c r="AD160" s="13"/>
      <c r="AE160" s="13"/>
    </row>
    <row r="161" spans="1:31" ht="20.2" customHeight="1" x14ac:dyDescent="0.3">
      <c r="A161" s="14"/>
      <c r="B161" s="41"/>
      <c r="C161" s="31"/>
      <c r="D161" s="31"/>
      <c r="E161" s="31"/>
      <c r="F161" s="32"/>
      <c r="G161" s="42"/>
      <c r="H161" s="18" t="str">
        <f>IFERROR(VLOOKUP(G161,List2!$B$2:$C$100,2,FALSE), "Kerkali xodim topilmadi")</f>
        <v>Kerkali xodim topilmadi</v>
      </c>
      <c r="I161" s="7" t="str">
        <f>IFERROR(VLOOKUP(G161,List2!$B$2:$D$100,3,FALSE), "Kerkali BO'LIM topilmadi")</f>
        <v>Kerkali BO'LIM topilmadi</v>
      </c>
      <c r="J161" s="31"/>
      <c r="K161" s="43"/>
      <c r="L161" s="31"/>
      <c r="M161" s="31"/>
      <c r="N161" s="31"/>
      <c r="O161" s="31"/>
      <c r="P161" s="44"/>
      <c r="Q161" s="31"/>
      <c r="R161" s="45"/>
      <c r="S161" s="22"/>
      <c r="T161" s="22"/>
      <c r="U161" s="13"/>
      <c r="V161" s="13"/>
      <c r="W161" s="23"/>
      <c r="X161" s="13"/>
      <c r="Y161" s="13"/>
      <c r="Z161" s="13"/>
      <c r="AA161" s="13"/>
      <c r="AB161" s="13"/>
      <c r="AC161" s="13"/>
      <c r="AD161" s="13"/>
      <c r="AE161" s="13"/>
    </row>
    <row r="162" spans="1:31" ht="20.2" customHeight="1" x14ac:dyDescent="0.3">
      <c r="A162" s="14"/>
      <c r="B162" s="41"/>
      <c r="C162" s="31"/>
      <c r="D162" s="31"/>
      <c r="E162" s="31"/>
      <c r="F162" s="32"/>
      <c r="G162" s="42"/>
      <c r="H162" s="18" t="str">
        <f>IFERROR(VLOOKUP(G162,List2!$B$2:$C$100,2,FALSE), "Kerkali xodim topilmadi")</f>
        <v>Kerkali xodim topilmadi</v>
      </c>
      <c r="I162" s="7" t="str">
        <f>IFERROR(VLOOKUP(G162,List2!$B$2:$D$100,3,FALSE), "Kerkali BO'LIM topilmadi")</f>
        <v>Kerkali BO'LIM topilmadi</v>
      </c>
      <c r="J162" s="31"/>
      <c r="K162" s="43"/>
      <c r="L162" s="31"/>
      <c r="M162" s="31"/>
      <c r="N162" s="31"/>
      <c r="O162" s="31"/>
      <c r="P162" s="44"/>
      <c r="Q162" s="31"/>
      <c r="R162" s="45"/>
      <c r="S162" s="22"/>
      <c r="T162" s="22"/>
      <c r="U162" s="13"/>
      <c r="V162" s="13"/>
      <c r="W162" s="23"/>
      <c r="X162" s="13"/>
      <c r="Y162" s="13"/>
      <c r="Z162" s="13"/>
      <c r="AA162" s="13"/>
      <c r="AB162" s="13"/>
      <c r="AC162" s="13"/>
      <c r="AD162" s="13"/>
      <c r="AE162" s="13"/>
    </row>
    <row r="163" spans="1:31" ht="20.2" customHeight="1" x14ac:dyDescent="0.3">
      <c r="A163" s="14"/>
      <c r="B163" s="41"/>
      <c r="C163" s="31"/>
      <c r="D163" s="31"/>
      <c r="E163" s="31"/>
      <c r="F163" s="32"/>
      <c r="G163" s="42"/>
      <c r="H163" s="18" t="str">
        <f>IFERROR(VLOOKUP(G163,List2!$B$2:$C$100,2,FALSE), "Kerkali xodim topilmadi")</f>
        <v>Kerkali xodim topilmadi</v>
      </c>
      <c r="I163" s="7" t="str">
        <f>IFERROR(VLOOKUP(G163,List2!$B$2:$D$100,3,FALSE), "Kerkali BO'LIM topilmadi")</f>
        <v>Kerkali BO'LIM topilmadi</v>
      </c>
      <c r="J163" s="31"/>
      <c r="K163" s="43"/>
      <c r="L163" s="31"/>
      <c r="M163" s="31"/>
      <c r="N163" s="31"/>
      <c r="O163" s="31"/>
      <c r="P163" s="44"/>
      <c r="Q163" s="31"/>
      <c r="R163" s="45"/>
      <c r="S163" s="22"/>
      <c r="T163" s="22"/>
      <c r="U163" s="13"/>
      <c r="V163" s="13"/>
      <c r="W163" s="23"/>
      <c r="X163" s="13"/>
      <c r="Y163" s="13"/>
      <c r="Z163" s="13"/>
      <c r="AA163" s="13"/>
      <c r="AB163" s="13"/>
      <c r="AC163" s="13"/>
      <c r="AD163" s="13"/>
      <c r="AE163" s="13"/>
    </row>
    <row r="164" spans="1:31" ht="20.2" customHeight="1" x14ac:dyDescent="0.3">
      <c r="A164" s="14"/>
      <c r="B164" s="41"/>
      <c r="C164" s="31"/>
      <c r="D164" s="31"/>
      <c r="E164" s="31"/>
      <c r="F164" s="32"/>
      <c r="G164" s="42"/>
      <c r="H164" s="18" t="str">
        <f>IFERROR(VLOOKUP(G164,List2!$B$2:$C$100,2,FALSE), "Kerkali xodim topilmadi")</f>
        <v>Kerkali xodim topilmadi</v>
      </c>
      <c r="I164" s="7" t="str">
        <f>IFERROR(VLOOKUP(G164,List2!$B$2:$D$100,3,FALSE), "Kerkali BO'LIM topilmadi")</f>
        <v>Kerkali BO'LIM topilmadi</v>
      </c>
      <c r="J164" s="31"/>
      <c r="K164" s="43"/>
      <c r="L164" s="31"/>
      <c r="M164" s="31"/>
      <c r="N164" s="31"/>
      <c r="O164" s="31"/>
      <c r="P164" s="44"/>
      <c r="Q164" s="31"/>
      <c r="R164" s="45"/>
      <c r="S164" s="22"/>
      <c r="T164" s="22"/>
      <c r="U164" s="13"/>
      <c r="V164" s="13"/>
      <c r="W164" s="23"/>
      <c r="X164" s="13"/>
      <c r="Y164" s="13"/>
      <c r="Z164" s="13"/>
      <c r="AA164" s="13"/>
      <c r="AB164" s="13"/>
      <c r="AC164" s="13"/>
      <c r="AD164" s="13"/>
      <c r="AE164" s="13"/>
    </row>
    <row r="165" spans="1:31" ht="20.2" customHeight="1" x14ac:dyDescent="0.3">
      <c r="A165" s="14"/>
      <c r="B165" s="41"/>
      <c r="C165" s="31"/>
      <c r="D165" s="31"/>
      <c r="E165" s="31"/>
      <c r="F165" s="32"/>
      <c r="G165" s="42"/>
      <c r="H165" s="18" t="str">
        <f>IFERROR(VLOOKUP(G165,List2!$B$2:$C$100,2,FALSE), "Kerkali xodim topilmadi")</f>
        <v>Kerkali xodim topilmadi</v>
      </c>
      <c r="I165" s="7" t="str">
        <f>IFERROR(VLOOKUP(G165,List2!$B$2:$D$100,3,FALSE), "Kerkali BO'LIM topilmadi")</f>
        <v>Kerkali BO'LIM topilmadi</v>
      </c>
      <c r="J165" s="31"/>
      <c r="K165" s="43"/>
      <c r="L165" s="31"/>
      <c r="M165" s="31"/>
      <c r="N165" s="31"/>
      <c r="O165" s="31"/>
      <c r="P165" s="44"/>
      <c r="Q165" s="31"/>
      <c r="R165" s="45"/>
      <c r="S165" s="22"/>
      <c r="T165" s="22"/>
      <c r="U165" s="13"/>
      <c r="V165" s="13"/>
      <c r="W165" s="23"/>
      <c r="X165" s="13"/>
      <c r="Y165" s="13"/>
      <c r="Z165" s="13"/>
      <c r="AA165" s="13"/>
      <c r="AB165" s="13"/>
      <c r="AC165" s="13"/>
      <c r="AD165" s="13"/>
      <c r="AE165" s="13"/>
    </row>
    <row r="166" spans="1:31" ht="20.2" customHeight="1" x14ac:dyDescent="0.3">
      <c r="A166" s="14"/>
      <c r="B166" s="41"/>
      <c r="C166" s="31"/>
      <c r="D166" s="31"/>
      <c r="E166" s="31"/>
      <c r="F166" s="32"/>
      <c r="G166" s="42"/>
      <c r="H166" s="18" t="str">
        <f>IFERROR(VLOOKUP(G166,List2!$B$2:$C$100,2,FALSE), "Kerkali xodim topilmadi")</f>
        <v>Kerkali xodim topilmadi</v>
      </c>
      <c r="I166" s="7" t="str">
        <f>IFERROR(VLOOKUP(G166,List2!$B$2:$D$100,3,FALSE), "Kerkali BO'LIM topilmadi")</f>
        <v>Kerkali BO'LIM topilmadi</v>
      </c>
      <c r="J166" s="31"/>
      <c r="K166" s="43"/>
      <c r="L166" s="31"/>
      <c r="M166" s="31"/>
      <c r="N166" s="31"/>
      <c r="O166" s="31"/>
      <c r="P166" s="44"/>
      <c r="Q166" s="31"/>
      <c r="R166" s="45"/>
      <c r="S166" s="22"/>
      <c r="T166" s="22"/>
      <c r="U166" s="13"/>
      <c r="V166" s="13"/>
      <c r="W166" s="23"/>
      <c r="X166" s="13"/>
      <c r="Y166" s="13"/>
      <c r="Z166" s="13"/>
      <c r="AA166" s="13"/>
      <c r="AB166" s="13"/>
      <c r="AC166" s="13"/>
      <c r="AD166" s="13"/>
      <c r="AE166" s="13"/>
    </row>
    <row r="167" spans="1:31" ht="20.2" customHeight="1" x14ac:dyDescent="0.3">
      <c r="A167" s="14"/>
      <c r="B167" s="41"/>
      <c r="C167" s="31"/>
      <c r="D167" s="31"/>
      <c r="E167" s="31"/>
      <c r="F167" s="32"/>
      <c r="G167" s="42"/>
      <c r="H167" s="18" t="str">
        <f>IFERROR(VLOOKUP(G167,List2!$B$2:$C$100,2,FALSE), "Kerkali xodim topilmadi")</f>
        <v>Kerkali xodim topilmadi</v>
      </c>
      <c r="I167" s="7" t="str">
        <f>IFERROR(VLOOKUP(G167,List2!$B$2:$D$100,3,FALSE), "Kerkali BO'LIM topilmadi")</f>
        <v>Kerkali BO'LIM topilmadi</v>
      </c>
      <c r="J167" s="31"/>
      <c r="K167" s="43"/>
      <c r="L167" s="31"/>
      <c r="M167" s="31"/>
      <c r="N167" s="31"/>
      <c r="O167" s="31"/>
      <c r="P167" s="44"/>
      <c r="Q167" s="31"/>
      <c r="R167" s="45"/>
      <c r="S167" s="22"/>
      <c r="T167" s="22"/>
      <c r="U167" s="13"/>
      <c r="V167" s="13"/>
      <c r="W167" s="23"/>
      <c r="X167" s="13"/>
      <c r="Y167" s="13"/>
      <c r="Z167" s="13"/>
      <c r="AA167" s="13"/>
      <c r="AB167" s="13"/>
      <c r="AC167" s="13"/>
      <c r="AD167" s="13"/>
      <c r="AE167" s="13"/>
    </row>
    <row r="168" spans="1:31" ht="20.2" customHeight="1" x14ac:dyDescent="0.3">
      <c r="A168" s="14"/>
      <c r="B168" s="41"/>
      <c r="C168" s="31"/>
      <c r="D168" s="31"/>
      <c r="E168" s="31"/>
      <c r="F168" s="32"/>
      <c r="G168" s="42"/>
      <c r="H168" s="18" t="str">
        <f>IFERROR(VLOOKUP(G168,List2!$B$2:$C$100,2,FALSE), "Kerkali xodim topilmadi")</f>
        <v>Kerkali xodim topilmadi</v>
      </c>
      <c r="I168" s="7" t="str">
        <f>IFERROR(VLOOKUP(G168,List2!$B$2:$D$100,3,FALSE), "Kerkali BO'LIM topilmadi")</f>
        <v>Kerkali BO'LIM topilmadi</v>
      </c>
      <c r="J168" s="31"/>
      <c r="K168" s="43"/>
      <c r="L168" s="31"/>
      <c r="M168" s="31"/>
      <c r="N168" s="31"/>
      <c r="O168" s="31"/>
      <c r="P168" s="44"/>
      <c r="Q168" s="31"/>
      <c r="R168" s="45"/>
      <c r="S168" s="22"/>
      <c r="T168" s="22"/>
      <c r="U168" s="13"/>
      <c r="V168" s="13"/>
      <c r="W168" s="23"/>
      <c r="X168" s="13"/>
      <c r="Y168" s="13"/>
      <c r="Z168" s="13"/>
      <c r="AA168" s="13"/>
      <c r="AB168" s="13"/>
      <c r="AC168" s="13"/>
      <c r="AD168" s="13"/>
      <c r="AE168" s="13"/>
    </row>
    <row r="169" spans="1:31" ht="20.2" customHeight="1" x14ac:dyDescent="0.3">
      <c r="A169" s="14"/>
      <c r="B169" s="41"/>
      <c r="C169" s="31"/>
      <c r="D169" s="31"/>
      <c r="E169" s="31"/>
      <c r="F169" s="32"/>
      <c r="G169" s="42"/>
      <c r="H169" s="18" t="str">
        <f>IFERROR(VLOOKUP(G169,List2!$B$2:$C$100,2,FALSE), "Kerkali xodim topilmadi")</f>
        <v>Kerkali xodim topilmadi</v>
      </c>
      <c r="I169" s="7" t="str">
        <f>IFERROR(VLOOKUP(G169,List2!$B$2:$D$100,3,FALSE), "Kerkali BO'LIM topilmadi")</f>
        <v>Kerkali BO'LIM topilmadi</v>
      </c>
      <c r="J169" s="31"/>
      <c r="K169" s="43"/>
      <c r="L169" s="31"/>
      <c r="M169" s="31"/>
      <c r="N169" s="31"/>
      <c r="O169" s="31"/>
      <c r="P169" s="44"/>
      <c r="Q169" s="31"/>
      <c r="R169" s="45"/>
      <c r="S169" s="22"/>
      <c r="T169" s="22"/>
      <c r="U169" s="13"/>
      <c r="V169" s="13"/>
      <c r="W169" s="23"/>
      <c r="X169" s="13"/>
      <c r="Y169" s="13"/>
      <c r="Z169" s="13"/>
      <c r="AA169" s="13"/>
      <c r="AB169" s="13"/>
      <c r="AC169" s="13"/>
      <c r="AD169" s="13"/>
      <c r="AE169" s="13"/>
    </row>
    <row r="170" spans="1:31" ht="20.2" customHeight="1" x14ac:dyDescent="0.3">
      <c r="A170" s="14"/>
      <c r="B170" s="41"/>
      <c r="C170" s="31"/>
      <c r="D170" s="31"/>
      <c r="E170" s="31"/>
      <c r="F170" s="32"/>
      <c r="G170" s="42"/>
      <c r="H170" s="18" t="str">
        <f>IFERROR(VLOOKUP(G170,List2!$B$2:$C$100,2,FALSE), "Kerkali xodim topilmadi")</f>
        <v>Kerkali xodim topilmadi</v>
      </c>
      <c r="I170" s="7" t="str">
        <f>IFERROR(VLOOKUP(G170,List2!$B$2:$D$100,3,FALSE), "Kerkali BO'LIM topilmadi")</f>
        <v>Kerkali BO'LIM topilmadi</v>
      </c>
      <c r="J170" s="31"/>
      <c r="K170" s="43"/>
      <c r="L170" s="31"/>
      <c r="M170" s="31"/>
      <c r="N170" s="31"/>
      <c r="O170" s="31"/>
      <c r="P170" s="44"/>
      <c r="Q170" s="31"/>
      <c r="R170" s="45"/>
      <c r="S170" s="22"/>
      <c r="T170" s="22"/>
      <c r="U170" s="13"/>
      <c r="V170" s="13"/>
      <c r="W170" s="23"/>
      <c r="X170" s="13"/>
      <c r="Y170" s="13"/>
      <c r="Z170" s="13"/>
      <c r="AA170" s="13"/>
      <c r="AB170" s="13"/>
      <c r="AC170" s="13"/>
      <c r="AD170" s="13"/>
      <c r="AE170" s="13"/>
    </row>
    <row r="171" spans="1:31" ht="20.2" customHeight="1" x14ac:dyDescent="0.3">
      <c r="A171" s="14"/>
      <c r="B171" s="41"/>
      <c r="C171" s="31"/>
      <c r="D171" s="31"/>
      <c r="E171" s="31"/>
      <c r="F171" s="32"/>
      <c r="G171" s="42"/>
      <c r="H171" s="18" t="str">
        <f>IFERROR(VLOOKUP(G171,List2!$B$2:$C$100,2,FALSE), "Kerkali xodim topilmadi")</f>
        <v>Kerkali xodim topilmadi</v>
      </c>
      <c r="I171" s="7" t="str">
        <f>IFERROR(VLOOKUP(G171,List2!$B$2:$D$100,3,FALSE), "Kerkali BO'LIM topilmadi")</f>
        <v>Kerkali BO'LIM topilmadi</v>
      </c>
      <c r="J171" s="31"/>
      <c r="K171" s="43"/>
      <c r="L171" s="31"/>
      <c r="M171" s="31"/>
      <c r="N171" s="31"/>
      <c r="O171" s="31"/>
      <c r="P171" s="44"/>
      <c r="Q171" s="31"/>
      <c r="R171" s="45"/>
      <c r="S171" s="22"/>
      <c r="T171" s="22"/>
      <c r="U171" s="13"/>
      <c r="V171" s="13"/>
      <c r="W171" s="23"/>
      <c r="X171" s="13"/>
      <c r="Y171" s="13"/>
      <c r="Z171" s="13"/>
      <c r="AA171" s="13"/>
      <c r="AB171" s="13"/>
      <c r="AC171" s="13"/>
      <c r="AD171" s="13"/>
      <c r="AE171" s="13"/>
    </row>
    <row r="172" spans="1:31" ht="20.2" customHeight="1" x14ac:dyDescent="0.3">
      <c r="A172" s="14"/>
      <c r="B172" s="41"/>
      <c r="C172" s="31"/>
      <c r="D172" s="31"/>
      <c r="E172" s="31"/>
      <c r="F172" s="32"/>
      <c r="G172" s="42"/>
      <c r="H172" s="18" t="str">
        <f>IFERROR(VLOOKUP(G172,List2!$B$2:$C$100,2,FALSE), "Kerkali xodim topilmadi")</f>
        <v>Kerkali xodim topilmadi</v>
      </c>
      <c r="I172" s="7" t="str">
        <f>IFERROR(VLOOKUP(G172,List2!$B$2:$D$100,3,FALSE), "Kerkali BO'LIM topilmadi")</f>
        <v>Kerkali BO'LIM topilmadi</v>
      </c>
      <c r="J172" s="31"/>
      <c r="K172" s="43"/>
      <c r="L172" s="31"/>
      <c r="M172" s="31"/>
      <c r="N172" s="31"/>
      <c r="O172" s="31"/>
      <c r="P172" s="44"/>
      <c r="Q172" s="31"/>
      <c r="R172" s="45"/>
      <c r="S172" s="22"/>
      <c r="T172" s="22"/>
      <c r="U172" s="13"/>
      <c r="V172" s="13"/>
      <c r="W172" s="23"/>
      <c r="X172" s="13"/>
      <c r="Y172" s="13"/>
      <c r="Z172" s="13"/>
      <c r="AA172" s="13"/>
      <c r="AB172" s="13"/>
      <c r="AC172" s="13"/>
      <c r="AD172" s="13"/>
      <c r="AE172" s="13"/>
    </row>
    <row r="173" spans="1:31" ht="20.2" customHeight="1" x14ac:dyDescent="0.3">
      <c r="A173" s="14"/>
      <c r="B173" s="41"/>
      <c r="C173" s="31"/>
      <c r="D173" s="31"/>
      <c r="E173" s="31"/>
      <c r="F173" s="32"/>
      <c r="G173" s="42"/>
      <c r="H173" s="18" t="str">
        <f>IFERROR(VLOOKUP(G173,List2!$B$2:$C$100,2,FALSE), "Kerkali xodim topilmadi")</f>
        <v>Kerkali xodim topilmadi</v>
      </c>
      <c r="I173" s="7" t="str">
        <f>IFERROR(VLOOKUP(G173,List2!$B$2:$D$100,3,FALSE), "Kerkali BO'LIM topilmadi")</f>
        <v>Kerkali BO'LIM topilmadi</v>
      </c>
      <c r="J173" s="31"/>
      <c r="K173" s="43"/>
      <c r="L173" s="31"/>
      <c r="M173" s="31"/>
      <c r="N173" s="31"/>
      <c r="O173" s="31"/>
      <c r="P173" s="44"/>
      <c r="Q173" s="31"/>
      <c r="R173" s="45"/>
      <c r="S173" s="22"/>
      <c r="T173" s="22"/>
      <c r="U173" s="13"/>
      <c r="V173" s="13"/>
      <c r="W173" s="23"/>
      <c r="X173" s="13"/>
      <c r="Y173" s="13"/>
      <c r="Z173" s="13"/>
      <c r="AA173" s="13"/>
      <c r="AB173" s="13"/>
      <c r="AC173" s="13"/>
      <c r="AD173" s="13"/>
      <c r="AE173" s="13"/>
    </row>
    <row r="174" spans="1:31" ht="20.2" customHeight="1" x14ac:dyDescent="0.3">
      <c r="A174" s="14"/>
      <c r="B174" s="41"/>
      <c r="C174" s="31"/>
      <c r="D174" s="31"/>
      <c r="E174" s="31"/>
      <c r="F174" s="32"/>
      <c r="G174" s="42"/>
      <c r="H174" s="18" t="str">
        <f>IFERROR(VLOOKUP(G174,List2!$B$2:$C$100,2,FALSE), "Kerkali xodim topilmadi")</f>
        <v>Kerkali xodim topilmadi</v>
      </c>
      <c r="I174" s="7" t="str">
        <f>IFERROR(VLOOKUP(G174,List2!$B$2:$D$100,3,FALSE), "Kerkali BO'LIM topilmadi")</f>
        <v>Kerkali BO'LIM topilmadi</v>
      </c>
      <c r="J174" s="31"/>
      <c r="K174" s="43"/>
      <c r="L174" s="31"/>
      <c r="M174" s="31"/>
      <c r="N174" s="31"/>
      <c r="O174" s="31"/>
      <c r="P174" s="44"/>
      <c r="Q174" s="31"/>
      <c r="R174" s="45"/>
      <c r="S174" s="22"/>
      <c r="T174" s="22"/>
      <c r="U174" s="13"/>
      <c r="V174" s="13"/>
      <c r="W174" s="23"/>
      <c r="X174" s="13"/>
      <c r="Y174" s="13"/>
      <c r="Z174" s="13"/>
      <c r="AA174" s="13"/>
      <c r="AB174" s="13"/>
      <c r="AC174" s="13"/>
      <c r="AD174" s="13"/>
      <c r="AE174" s="13"/>
    </row>
    <row r="175" spans="1:31" ht="20.2" customHeight="1" x14ac:dyDescent="0.3">
      <c r="A175" s="14"/>
      <c r="B175" s="41"/>
      <c r="C175" s="31"/>
      <c r="D175" s="31"/>
      <c r="E175" s="31"/>
      <c r="F175" s="32"/>
      <c r="G175" s="42"/>
      <c r="H175" s="18" t="str">
        <f>IFERROR(VLOOKUP(G175,List2!$B$2:$C$100,2,FALSE), "Kerkali xodim topilmadi")</f>
        <v>Kerkali xodim topilmadi</v>
      </c>
      <c r="I175" s="7" t="str">
        <f>IFERROR(VLOOKUP(G175,List2!$B$2:$D$100,3,FALSE), "Kerkali BO'LIM topilmadi")</f>
        <v>Kerkali BO'LIM topilmadi</v>
      </c>
      <c r="J175" s="31"/>
      <c r="K175" s="43"/>
      <c r="L175" s="31"/>
      <c r="M175" s="31"/>
      <c r="N175" s="31"/>
      <c r="O175" s="31"/>
      <c r="P175" s="44"/>
      <c r="Q175" s="31"/>
      <c r="R175" s="45"/>
      <c r="S175" s="22"/>
      <c r="T175" s="22"/>
      <c r="U175" s="13"/>
      <c r="V175" s="13"/>
      <c r="W175" s="23"/>
      <c r="X175" s="13"/>
      <c r="Y175" s="13"/>
      <c r="Z175" s="13"/>
      <c r="AA175" s="13"/>
      <c r="AB175" s="13"/>
      <c r="AC175" s="13"/>
      <c r="AD175" s="13"/>
      <c r="AE175" s="13"/>
    </row>
    <row r="176" spans="1:31" ht="20.2" customHeight="1" x14ac:dyDescent="0.3">
      <c r="A176" s="14"/>
      <c r="B176" s="41"/>
      <c r="C176" s="31"/>
      <c r="D176" s="31"/>
      <c r="E176" s="31"/>
      <c r="F176" s="32"/>
      <c r="G176" s="42"/>
      <c r="H176" s="18" t="str">
        <f>IFERROR(VLOOKUP(G176,List2!$B$2:$C$100,2,FALSE), "Kerkali xodim topilmadi")</f>
        <v>Kerkali xodim topilmadi</v>
      </c>
      <c r="I176" s="7" t="str">
        <f>IFERROR(VLOOKUP(G176,List2!$B$2:$D$100,3,FALSE), "Kerkali BO'LIM topilmadi")</f>
        <v>Kerkali BO'LIM topilmadi</v>
      </c>
      <c r="J176" s="31"/>
      <c r="K176" s="43"/>
      <c r="L176" s="31"/>
      <c r="M176" s="31"/>
      <c r="N176" s="31"/>
      <c r="O176" s="31"/>
      <c r="P176" s="44"/>
      <c r="Q176" s="31"/>
      <c r="R176" s="45"/>
      <c r="S176" s="22"/>
      <c r="T176" s="22"/>
      <c r="U176" s="13"/>
      <c r="V176" s="13"/>
      <c r="W176" s="23"/>
      <c r="X176" s="13"/>
      <c r="Y176" s="13"/>
      <c r="Z176" s="13"/>
      <c r="AA176" s="13"/>
      <c r="AB176" s="13"/>
      <c r="AC176" s="13"/>
      <c r="AD176" s="13"/>
      <c r="AE176" s="13"/>
    </row>
    <row r="177" spans="1:31" ht="20.2" customHeight="1" x14ac:dyDescent="0.3">
      <c r="A177" s="14"/>
      <c r="B177" s="41"/>
      <c r="C177" s="31"/>
      <c r="D177" s="31"/>
      <c r="E177" s="31"/>
      <c r="F177" s="32"/>
      <c r="G177" s="42"/>
      <c r="H177" s="18" t="str">
        <f>IFERROR(VLOOKUP(G177,List2!$B$2:$C$100,2,FALSE), "Kerkali xodim topilmadi")</f>
        <v>Kerkali xodim topilmadi</v>
      </c>
      <c r="I177" s="7" t="str">
        <f>IFERROR(VLOOKUP(G177,List2!$B$2:$D$100,3,FALSE), "Kerkali BO'LIM topilmadi")</f>
        <v>Kerkali BO'LIM topilmadi</v>
      </c>
      <c r="J177" s="31"/>
      <c r="K177" s="43"/>
      <c r="L177" s="31"/>
      <c r="M177" s="31"/>
      <c r="N177" s="31"/>
      <c r="O177" s="31"/>
      <c r="P177" s="44"/>
      <c r="Q177" s="31"/>
      <c r="R177" s="45"/>
      <c r="S177" s="22"/>
      <c r="T177" s="22"/>
      <c r="U177" s="13"/>
      <c r="V177" s="13"/>
      <c r="W177" s="23"/>
      <c r="X177" s="13"/>
      <c r="Y177" s="13"/>
      <c r="Z177" s="13"/>
      <c r="AA177" s="13"/>
      <c r="AB177" s="13"/>
      <c r="AC177" s="13"/>
      <c r="AD177" s="13"/>
      <c r="AE177" s="13"/>
    </row>
    <row r="178" spans="1:31" ht="20.2" customHeight="1" x14ac:dyDescent="0.3">
      <c r="A178" s="14"/>
      <c r="B178" s="41"/>
      <c r="C178" s="31"/>
      <c r="D178" s="31"/>
      <c r="E178" s="31"/>
      <c r="F178" s="32"/>
      <c r="G178" s="42"/>
      <c r="H178" s="18" t="str">
        <f>IFERROR(VLOOKUP(G178,List2!$B$2:$C$100,2,FALSE), "Kerkali xodim topilmadi")</f>
        <v>Kerkali xodim topilmadi</v>
      </c>
      <c r="I178" s="7" t="str">
        <f>IFERROR(VLOOKUP(G178,List2!$B$2:$D$100,3,FALSE), "Kerkali BO'LIM topilmadi")</f>
        <v>Kerkali BO'LIM topilmadi</v>
      </c>
      <c r="J178" s="31"/>
      <c r="K178" s="43"/>
      <c r="L178" s="31"/>
      <c r="M178" s="31"/>
      <c r="N178" s="31"/>
      <c r="O178" s="31"/>
      <c r="P178" s="44"/>
      <c r="Q178" s="31"/>
      <c r="R178" s="45"/>
      <c r="S178" s="22"/>
      <c r="T178" s="22"/>
      <c r="U178" s="13"/>
      <c r="V178" s="13"/>
      <c r="W178" s="23"/>
      <c r="X178" s="13"/>
      <c r="Y178" s="13"/>
      <c r="Z178" s="13"/>
      <c r="AA178" s="13"/>
      <c r="AB178" s="13"/>
      <c r="AC178" s="13"/>
      <c r="AD178" s="13"/>
      <c r="AE178" s="13"/>
    </row>
    <row r="179" spans="1:31" ht="20.2" customHeight="1" x14ac:dyDescent="0.3">
      <c r="A179" s="14"/>
      <c r="B179" s="41"/>
      <c r="C179" s="31"/>
      <c r="D179" s="31"/>
      <c r="E179" s="31"/>
      <c r="F179" s="32"/>
      <c r="G179" s="42"/>
      <c r="H179" s="18" t="str">
        <f>IFERROR(VLOOKUP(G179,List2!$B$2:$C$100,2,FALSE), "Kerkali xodim topilmadi")</f>
        <v>Kerkali xodim topilmadi</v>
      </c>
      <c r="I179" s="7" t="str">
        <f>IFERROR(VLOOKUP(G179,List2!$B$2:$D$100,3,FALSE), "Kerkali BO'LIM topilmadi")</f>
        <v>Kerkali BO'LIM topilmadi</v>
      </c>
      <c r="J179" s="31"/>
      <c r="K179" s="43"/>
      <c r="L179" s="31"/>
      <c r="M179" s="31"/>
      <c r="N179" s="31"/>
      <c r="O179" s="31"/>
      <c r="P179" s="44"/>
      <c r="Q179" s="31"/>
      <c r="R179" s="45"/>
      <c r="S179" s="22"/>
      <c r="T179" s="22"/>
      <c r="U179" s="13"/>
      <c r="V179" s="13"/>
      <c r="W179" s="23"/>
      <c r="X179" s="13"/>
      <c r="Y179" s="13"/>
      <c r="Z179" s="13"/>
      <c r="AA179" s="13"/>
      <c r="AB179" s="13"/>
      <c r="AC179" s="13"/>
      <c r="AD179" s="13"/>
      <c r="AE179" s="13"/>
    </row>
    <row r="180" spans="1:31" ht="20.2" customHeight="1" x14ac:dyDescent="0.3">
      <c r="A180" s="14"/>
      <c r="B180" s="41"/>
      <c r="C180" s="31"/>
      <c r="D180" s="31"/>
      <c r="E180" s="31"/>
      <c r="F180" s="32"/>
      <c r="G180" s="42"/>
      <c r="H180" s="18" t="str">
        <f>IFERROR(VLOOKUP(G180,List2!$B$2:$C$100,2,FALSE), "Kerkali xodim topilmadi")</f>
        <v>Kerkali xodim topilmadi</v>
      </c>
      <c r="I180" s="7" t="str">
        <f>IFERROR(VLOOKUP(G180,List2!$B$2:$D$100,3,FALSE), "Kerkali BO'LIM topilmadi")</f>
        <v>Kerkali BO'LIM topilmadi</v>
      </c>
      <c r="J180" s="31"/>
      <c r="K180" s="43"/>
      <c r="L180" s="31"/>
      <c r="M180" s="31"/>
      <c r="N180" s="31"/>
      <c r="O180" s="31"/>
      <c r="P180" s="44"/>
      <c r="Q180" s="31"/>
      <c r="R180" s="45"/>
      <c r="S180" s="22"/>
      <c r="T180" s="22"/>
      <c r="U180" s="13"/>
      <c r="V180" s="13"/>
      <c r="W180" s="23"/>
      <c r="X180" s="13"/>
      <c r="Y180" s="13"/>
      <c r="Z180" s="13"/>
      <c r="AA180" s="13"/>
      <c r="AB180" s="13"/>
      <c r="AC180" s="13"/>
      <c r="AD180" s="13"/>
      <c r="AE180" s="13"/>
    </row>
    <row r="181" spans="1:31" ht="20.2" customHeight="1" x14ac:dyDescent="0.3">
      <c r="A181" s="14"/>
      <c r="B181" s="41"/>
      <c r="C181" s="31"/>
      <c r="D181" s="31"/>
      <c r="E181" s="31"/>
      <c r="F181" s="32"/>
      <c r="G181" s="42"/>
      <c r="H181" s="18" t="str">
        <f>IFERROR(VLOOKUP(G181,List2!$B$2:$C$100,2,FALSE), "Kerkali xodim topilmadi")</f>
        <v>Kerkali xodim topilmadi</v>
      </c>
      <c r="I181" s="7" t="str">
        <f>IFERROR(VLOOKUP(G181,List2!$B$2:$D$100,3,FALSE), "Kerkali BO'LIM topilmadi")</f>
        <v>Kerkali BO'LIM topilmadi</v>
      </c>
      <c r="J181" s="31"/>
      <c r="K181" s="43"/>
      <c r="L181" s="31"/>
      <c r="M181" s="31"/>
      <c r="N181" s="31"/>
      <c r="O181" s="31"/>
      <c r="P181" s="44"/>
      <c r="Q181" s="31"/>
      <c r="R181" s="45"/>
      <c r="S181" s="22"/>
      <c r="T181" s="22"/>
      <c r="U181" s="13"/>
      <c r="V181" s="13"/>
      <c r="W181" s="23"/>
      <c r="X181" s="13"/>
      <c r="Y181" s="13"/>
      <c r="Z181" s="13"/>
      <c r="AA181" s="13"/>
      <c r="AB181" s="13"/>
      <c r="AC181" s="13"/>
      <c r="AD181" s="13"/>
      <c r="AE181" s="13"/>
    </row>
    <row r="182" spans="1:31" ht="20.2" customHeight="1" x14ac:dyDescent="0.3">
      <c r="A182" s="14"/>
      <c r="B182" s="41"/>
      <c r="C182" s="31"/>
      <c r="D182" s="31"/>
      <c r="E182" s="31"/>
      <c r="F182" s="32"/>
      <c r="G182" s="42"/>
      <c r="H182" s="18" t="str">
        <f>IFERROR(VLOOKUP(G182,List2!$B$2:$C$100,2,FALSE), "Kerkali xodim topilmadi")</f>
        <v>Kerkali xodim topilmadi</v>
      </c>
      <c r="I182" s="7" t="str">
        <f>IFERROR(VLOOKUP(G182,List2!$B$2:$D$100,3,FALSE), "Kerkali BO'LIM topilmadi")</f>
        <v>Kerkali BO'LIM topilmadi</v>
      </c>
      <c r="J182" s="31"/>
      <c r="K182" s="43"/>
      <c r="L182" s="31"/>
      <c r="M182" s="31"/>
      <c r="N182" s="31"/>
      <c r="O182" s="31"/>
      <c r="P182" s="44"/>
      <c r="Q182" s="31"/>
      <c r="R182" s="45"/>
      <c r="S182" s="22"/>
      <c r="T182" s="22"/>
      <c r="U182" s="13"/>
      <c r="V182" s="13"/>
      <c r="W182" s="23"/>
      <c r="X182" s="13"/>
      <c r="Y182" s="13"/>
      <c r="Z182" s="13"/>
      <c r="AA182" s="13"/>
      <c r="AB182" s="13"/>
      <c r="AC182" s="13"/>
      <c r="AD182" s="13"/>
      <c r="AE182" s="13"/>
    </row>
    <row r="183" spans="1:31" ht="20.2" customHeight="1" x14ac:dyDescent="0.3">
      <c r="A183" s="14"/>
      <c r="B183" s="41"/>
      <c r="C183" s="31"/>
      <c r="D183" s="31"/>
      <c r="E183" s="31"/>
      <c r="F183" s="32"/>
      <c r="G183" s="42"/>
      <c r="H183" s="18" t="str">
        <f>IFERROR(VLOOKUP(G183,List2!$B$2:$C$100,2,FALSE), "Kerkali xodim topilmadi")</f>
        <v>Kerkali xodim topilmadi</v>
      </c>
      <c r="I183" s="7" t="str">
        <f>IFERROR(VLOOKUP(G183,List2!$B$2:$D$100,3,FALSE), "Kerkali BO'LIM topilmadi")</f>
        <v>Kerkali BO'LIM topilmadi</v>
      </c>
      <c r="J183" s="31"/>
      <c r="K183" s="43"/>
      <c r="L183" s="31"/>
      <c r="M183" s="31"/>
      <c r="N183" s="31"/>
      <c r="O183" s="31"/>
      <c r="P183" s="44"/>
      <c r="Q183" s="31"/>
      <c r="R183" s="45"/>
      <c r="S183" s="22"/>
      <c r="T183" s="22"/>
      <c r="U183" s="13"/>
      <c r="V183" s="13"/>
      <c r="W183" s="23"/>
      <c r="X183" s="13"/>
      <c r="Y183" s="13"/>
      <c r="Z183" s="13"/>
      <c r="AA183" s="13"/>
      <c r="AB183" s="13"/>
      <c r="AC183" s="13"/>
      <c r="AD183" s="13"/>
      <c r="AE183" s="13"/>
    </row>
    <row r="184" spans="1:31" ht="20.2" customHeight="1" x14ac:dyDescent="0.3">
      <c r="A184" s="14"/>
      <c r="B184" s="41"/>
      <c r="C184" s="31"/>
      <c r="D184" s="31"/>
      <c r="E184" s="31"/>
      <c r="F184" s="32"/>
      <c r="G184" s="42"/>
      <c r="H184" s="18" t="str">
        <f>IFERROR(VLOOKUP(G184,List2!$B$2:$C$100,2,FALSE), "Kerkali xodim topilmadi")</f>
        <v>Kerkali xodim topilmadi</v>
      </c>
      <c r="I184" s="7" t="str">
        <f>IFERROR(VLOOKUP(G184,List2!$B$2:$D$100,3,FALSE), "Kerkali BO'LIM topilmadi")</f>
        <v>Kerkali BO'LIM topilmadi</v>
      </c>
      <c r="J184" s="31"/>
      <c r="K184" s="43"/>
      <c r="L184" s="31"/>
      <c r="M184" s="31"/>
      <c r="N184" s="31"/>
      <c r="O184" s="31"/>
      <c r="P184" s="44"/>
      <c r="Q184" s="31"/>
      <c r="R184" s="45"/>
      <c r="S184" s="22"/>
      <c r="T184" s="22"/>
      <c r="U184" s="13"/>
      <c r="V184" s="13"/>
      <c r="W184" s="23"/>
      <c r="X184" s="13"/>
      <c r="Y184" s="13"/>
      <c r="Z184" s="13"/>
      <c r="AA184" s="13"/>
      <c r="AB184" s="13"/>
      <c r="AC184" s="13"/>
      <c r="AD184" s="13"/>
      <c r="AE184" s="13"/>
    </row>
    <row r="185" spans="1:31" ht="20.2" customHeight="1" x14ac:dyDescent="0.3">
      <c r="A185" s="14"/>
      <c r="B185" s="41"/>
      <c r="C185" s="31"/>
      <c r="D185" s="31"/>
      <c r="E185" s="31"/>
      <c r="F185" s="32"/>
      <c r="G185" s="42"/>
      <c r="H185" s="18" t="str">
        <f>IFERROR(VLOOKUP(G185,List2!$B$2:$C$100,2,FALSE), "Kerkali xodim topilmadi")</f>
        <v>Kerkali xodim topilmadi</v>
      </c>
      <c r="I185" s="7" t="str">
        <f>IFERROR(VLOOKUP(G185,List2!$B$2:$D$100,3,FALSE), "Kerkali BO'LIM topilmadi")</f>
        <v>Kerkali BO'LIM topilmadi</v>
      </c>
      <c r="J185" s="31"/>
      <c r="K185" s="43"/>
      <c r="L185" s="31"/>
      <c r="M185" s="31"/>
      <c r="N185" s="31"/>
      <c r="O185" s="31"/>
      <c r="P185" s="44"/>
      <c r="Q185" s="31"/>
      <c r="R185" s="45"/>
      <c r="S185" s="22"/>
      <c r="T185" s="22"/>
      <c r="U185" s="13"/>
      <c r="V185" s="13"/>
      <c r="W185" s="23"/>
      <c r="X185" s="13"/>
      <c r="Y185" s="13"/>
      <c r="Z185" s="13"/>
      <c r="AA185" s="13"/>
      <c r="AB185" s="13"/>
      <c r="AC185" s="13"/>
      <c r="AD185" s="13"/>
      <c r="AE185" s="13"/>
    </row>
    <row r="186" spans="1:31" ht="20.2" customHeight="1" x14ac:dyDescent="0.3">
      <c r="A186" s="14"/>
      <c r="B186" s="41"/>
      <c r="C186" s="31"/>
      <c r="D186" s="31"/>
      <c r="E186" s="31"/>
      <c r="F186" s="32"/>
      <c r="G186" s="42"/>
      <c r="H186" s="18" t="str">
        <f>IFERROR(VLOOKUP(G186,List2!$B$2:$C$100,2,FALSE), "Kerkali xodim topilmadi")</f>
        <v>Kerkali xodim topilmadi</v>
      </c>
      <c r="I186" s="7" t="str">
        <f>IFERROR(VLOOKUP(G186,List2!$B$2:$D$100,3,FALSE), "Kerkali BO'LIM topilmadi")</f>
        <v>Kerkali BO'LIM topilmadi</v>
      </c>
      <c r="J186" s="31"/>
      <c r="K186" s="43"/>
      <c r="L186" s="31"/>
      <c r="M186" s="31"/>
      <c r="N186" s="31"/>
      <c r="O186" s="31"/>
      <c r="P186" s="44"/>
      <c r="Q186" s="31"/>
      <c r="R186" s="45"/>
      <c r="S186" s="22"/>
      <c r="T186" s="22"/>
      <c r="U186" s="13"/>
      <c r="V186" s="13"/>
      <c r="W186" s="23"/>
      <c r="X186" s="13"/>
      <c r="Y186" s="13"/>
      <c r="Z186" s="13"/>
      <c r="AA186" s="13"/>
      <c r="AB186" s="13"/>
      <c r="AC186" s="13"/>
      <c r="AD186" s="13"/>
      <c r="AE186" s="13"/>
    </row>
    <row r="187" spans="1:31" ht="20.2" customHeight="1" x14ac:dyDescent="0.3">
      <c r="A187" s="14"/>
      <c r="B187" s="41"/>
      <c r="C187" s="31"/>
      <c r="D187" s="31"/>
      <c r="E187" s="31"/>
      <c r="F187" s="32"/>
      <c r="G187" s="42"/>
      <c r="H187" s="18" t="str">
        <f>IFERROR(VLOOKUP(G187,List2!$B$2:$C$100,2,FALSE), "Kerkali xodim topilmadi")</f>
        <v>Kerkali xodim topilmadi</v>
      </c>
      <c r="I187" s="7" t="str">
        <f>IFERROR(VLOOKUP(G187,List2!$B$2:$D$100,3,FALSE), "Kerkali BO'LIM topilmadi")</f>
        <v>Kerkali BO'LIM topilmadi</v>
      </c>
      <c r="J187" s="31"/>
      <c r="K187" s="43"/>
      <c r="L187" s="31"/>
      <c r="M187" s="31"/>
      <c r="N187" s="31"/>
      <c r="O187" s="31"/>
      <c r="P187" s="44"/>
      <c r="Q187" s="31"/>
      <c r="R187" s="45"/>
      <c r="S187" s="22"/>
      <c r="T187" s="22"/>
      <c r="U187" s="13"/>
      <c r="V187" s="13"/>
      <c r="W187" s="23"/>
      <c r="X187" s="13"/>
      <c r="Y187" s="13"/>
      <c r="Z187" s="13"/>
      <c r="AA187" s="13"/>
      <c r="AB187" s="13"/>
      <c r="AC187" s="13"/>
      <c r="AD187" s="13"/>
      <c r="AE187" s="13"/>
    </row>
    <row r="188" spans="1:31" ht="20.2" customHeight="1" x14ac:dyDescent="0.3">
      <c r="A188" s="14"/>
      <c r="B188" s="41"/>
      <c r="C188" s="31"/>
      <c r="D188" s="31"/>
      <c r="E188" s="31"/>
      <c r="F188" s="32"/>
      <c r="G188" s="42"/>
      <c r="H188" s="18" t="str">
        <f>IFERROR(VLOOKUP(G188,List2!$B$2:$C$100,2,FALSE), "Kerkali xodim topilmadi")</f>
        <v>Kerkali xodim topilmadi</v>
      </c>
      <c r="I188" s="7" t="str">
        <f>IFERROR(VLOOKUP(G188,List2!$B$2:$D$100,3,FALSE), "Kerkali BO'LIM topilmadi")</f>
        <v>Kerkali BO'LIM topilmadi</v>
      </c>
      <c r="J188" s="31"/>
      <c r="K188" s="43"/>
      <c r="L188" s="31"/>
      <c r="M188" s="31"/>
      <c r="N188" s="31"/>
      <c r="O188" s="31"/>
      <c r="P188" s="44"/>
      <c r="Q188" s="31"/>
      <c r="R188" s="45"/>
      <c r="S188" s="22"/>
      <c r="T188" s="22"/>
      <c r="U188" s="13"/>
      <c r="V188" s="13"/>
      <c r="W188" s="23"/>
      <c r="X188" s="13"/>
      <c r="Y188" s="13"/>
      <c r="Z188" s="13"/>
      <c r="AA188" s="13"/>
      <c r="AB188" s="13"/>
      <c r="AC188" s="13"/>
      <c r="AD188" s="13"/>
      <c r="AE188" s="13"/>
    </row>
    <row r="189" spans="1:31" ht="20.2" customHeight="1" x14ac:dyDescent="0.3">
      <c r="A189" s="14"/>
      <c r="B189" s="41"/>
      <c r="C189" s="31"/>
      <c r="D189" s="31"/>
      <c r="E189" s="31"/>
      <c r="F189" s="32"/>
      <c r="G189" s="42"/>
      <c r="H189" s="18" t="str">
        <f>IFERROR(VLOOKUP(G189,List2!$B$2:$C$100,2,FALSE), "Kerkali xodim topilmadi")</f>
        <v>Kerkali xodim topilmadi</v>
      </c>
      <c r="I189" s="7" t="str">
        <f>IFERROR(VLOOKUP(G189,List2!$B$2:$D$100,3,FALSE), "Kerkali BO'LIM topilmadi")</f>
        <v>Kerkali BO'LIM topilmadi</v>
      </c>
      <c r="J189" s="31"/>
      <c r="K189" s="43"/>
      <c r="L189" s="31"/>
      <c r="M189" s="31"/>
      <c r="N189" s="31"/>
      <c r="O189" s="31"/>
      <c r="P189" s="44"/>
      <c r="Q189" s="31"/>
      <c r="R189" s="45"/>
      <c r="S189" s="22"/>
      <c r="T189" s="22"/>
      <c r="U189" s="13"/>
      <c r="V189" s="13"/>
      <c r="W189" s="23"/>
      <c r="X189" s="13"/>
      <c r="Y189" s="13"/>
      <c r="Z189" s="13"/>
      <c r="AA189" s="13"/>
      <c r="AB189" s="13"/>
      <c r="AC189" s="13"/>
      <c r="AD189" s="13"/>
      <c r="AE189" s="13"/>
    </row>
    <row r="190" spans="1:31" ht="20.2" customHeight="1" x14ac:dyDescent="0.3">
      <c r="A190" s="14"/>
      <c r="B190" s="41"/>
      <c r="C190" s="31"/>
      <c r="D190" s="31"/>
      <c r="E190" s="31"/>
      <c r="F190" s="32"/>
      <c r="G190" s="42"/>
      <c r="H190" s="18" t="str">
        <f>IFERROR(VLOOKUP(G190,List2!$B$2:$C$100,2,FALSE), "Kerkali xodim topilmadi")</f>
        <v>Kerkali xodim topilmadi</v>
      </c>
      <c r="I190" s="7" t="str">
        <f>IFERROR(VLOOKUP(G190,List2!$B$2:$D$100,3,FALSE), "Kerkali BO'LIM topilmadi")</f>
        <v>Kerkali BO'LIM topilmadi</v>
      </c>
      <c r="J190" s="31"/>
      <c r="K190" s="43"/>
      <c r="L190" s="31"/>
      <c r="M190" s="31"/>
      <c r="N190" s="31"/>
      <c r="O190" s="31"/>
      <c r="P190" s="44"/>
      <c r="Q190" s="31"/>
      <c r="R190" s="45"/>
      <c r="S190" s="22"/>
      <c r="T190" s="22"/>
      <c r="U190" s="13"/>
      <c r="V190" s="13"/>
      <c r="W190" s="23"/>
      <c r="X190" s="13"/>
      <c r="Y190" s="13"/>
      <c r="Z190" s="13"/>
      <c r="AA190" s="13"/>
      <c r="AB190" s="13"/>
      <c r="AC190" s="13"/>
      <c r="AD190" s="13"/>
      <c r="AE190" s="13"/>
    </row>
    <row r="191" spans="1:31" ht="20.2" customHeight="1" x14ac:dyDescent="0.3">
      <c r="A191" s="14"/>
      <c r="B191" s="41"/>
      <c r="C191" s="31"/>
      <c r="D191" s="31"/>
      <c r="E191" s="31"/>
      <c r="F191" s="32"/>
      <c r="G191" s="42"/>
      <c r="H191" s="18" t="str">
        <f>IFERROR(VLOOKUP(G191,List2!$B$2:$C$100,2,FALSE), "Kerkali xodim topilmadi")</f>
        <v>Kerkali xodim topilmadi</v>
      </c>
      <c r="I191" s="7" t="str">
        <f>IFERROR(VLOOKUP(G191,List2!$B$2:$D$100,3,FALSE), "Kerkali BO'LIM topilmadi")</f>
        <v>Kerkali BO'LIM topilmadi</v>
      </c>
      <c r="J191" s="31"/>
      <c r="K191" s="43"/>
      <c r="L191" s="31"/>
      <c r="M191" s="31"/>
      <c r="N191" s="31"/>
      <c r="O191" s="31"/>
      <c r="P191" s="44"/>
      <c r="Q191" s="31"/>
      <c r="R191" s="45"/>
      <c r="S191" s="22"/>
      <c r="T191" s="22"/>
      <c r="U191" s="13"/>
      <c r="V191" s="13"/>
      <c r="W191" s="23"/>
      <c r="X191" s="13"/>
      <c r="Y191" s="13"/>
      <c r="Z191" s="13"/>
      <c r="AA191" s="13"/>
      <c r="AB191" s="13"/>
      <c r="AC191" s="13"/>
      <c r="AD191" s="13"/>
      <c r="AE191" s="13"/>
    </row>
    <row r="192" spans="1:31" ht="20.2" customHeight="1" x14ac:dyDescent="0.3">
      <c r="A192" s="14"/>
      <c r="B192" s="41"/>
      <c r="C192" s="31"/>
      <c r="D192" s="31"/>
      <c r="E192" s="31"/>
      <c r="F192" s="32"/>
      <c r="G192" s="42"/>
      <c r="H192" s="18" t="str">
        <f>IFERROR(VLOOKUP(G192,List2!$B$2:$C$100,2,FALSE), "Kerkali xodim topilmadi")</f>
        <v>Kerkali xodim topilmadi</v>
      </c>
      <c r="I192" s="7" t="str">
        <f>IFERROR(VLOOKUP(G192,List2!$B$2:$D$100,3,FALSE), "Kerkali BO'LIM topilmadi")</f>
        <v>Kerkali BO'LIM topilmadi</v>
      </c>
      <c r="J192" s="31"/>
      <c r="K192" s="43"/>
      <c r="L192" s="31"/>
      <c r="M192" s="31"/>
      <c r="N192" s="31"/>
      <c r="O192" s="31"/>
      <c r="P192" s="44"/>
      <c r="Q192" s="31"/>
      <c r="R192" s="45"/>
      <c r="S192" s="22"/>
      <c r="T192" s="22"/>
      <c r="U192" s="13"/>
      <c r="V192" s="13"/>
      <c r="W192" s="23"/>
      <c r="X192" s="13"/>
      <c r="Y192" s="13"/>
      <c r="Z192" s="13"/>
      <c r="AA192" s="13"/>
      <c r="AB192" s="13"/>
      <c r="AC192" s="13"/>
      <c r="AD192" s="13"/>
      <c r="AE192" s="13"/>
    </row>
    <row r="193" spans="1:31" ht="20.2" customHeight="1" x14ac:dyDescent="0.3">
      <c r="A193" s="14"/>
      <c r="B193" s="41"/>
      <c r="C193" s="31"/>
      <c r="D193" s="31"/>
      <c r="E193" s="31"/>
      <c r="F193" s="32"/>
      <c r="G193" s="42"/>
      <c r="H193" s="18" t="str">
        <f>IFERROR(VLOOKUP(G193,List2!$B$2:$C$100,2,FALSE), "Kerkali xodim topilmadi")</f>
        <v>Kerkali xodim topilmadi</v>
      </c>
      <c r="I193" s="7" t="str">
        <f>IFERROR(VLOOKUP(G193,List2!$B$2:$D$100,3,FALSE), "Kerkali BO'LIM topilmadi")</f>
        <v>Kerkali BO'LIM topilmadi</v>
      </c>
      <c r="J193" s="31"/>
      <c r="K193" s="43"/>
      <c r="L193" s="31"/>
      <c r="M193" s="31"/>
      <c r="N193" s="31"/>
      <c r="O193" s="31"/>
      <c r="P193" s="44"/>
      <c r="Q193" s="31"/>
      <c r="R193" s="45"/>
      <c r="S193" s="22"/>
      <c r="T193" s="22"/>
      <c r="U193" s="13"/>
      <c r="V193" s="13"/>
      <c r="W193" s="23"/>
      <c r="X193" s="13"/>
      <c r="Y193" s="13"/>
      <c r="Z193" s="13"/>
      <c r="AA193" s="13"/>
      <c r="AB193" s="13"/>
      <c r="AC193" s="13"/>
      <c r="AD193" s="13"/>
      <c r="AE193" s="13"/>
    </row>
    <row r="194" spans="1:31" ht="20.2" customHeight="1" x14ac:dyDescent="0.3">
      <c r="A194" s="14"/>
      <c r="B194" s="41"/>
      <c r="C194" s="31"/>
      <c r="D194" s="31"/>
      <c r="E194" s="31"/>
      <c r="F194" s="32"/>
      <c r="G194" s="42"/>
      <c r="H194" s="18" t="str">
        <f>IFERROR(VLOOKUP(G194,List2!$B$2:$C$100,2,FALSE), "Kerkali xodim topilmadi")</f>
        <v>Kerkali xodim topilmadi</v>
      </c>
      <c r="I194" s="7" t="str">
        <f>IFERROR(VLOOKUP(G194,List2!$B$2:$D$100,3,FALSE), "Kerkali BO'LIM topilmadi")</f>
        <v>Kerkali BO'LIM topilmadi</v>
      </c>
      <c r="J194" s="31"/>
      <c r="K194" s="43"/>
      <c r="L194" s="31"/>
      <c r="M194" s="31"/>
      <c r="N194" s="31"/>
      <c r="O194" s="31"/>
      <c r="P194" s="44"/>
      <c r="Q194" s="31"/>
      <c r="R194" s="45"/>
      <c r="S194" s="22"/>
      <c r="T194" s="22"/>
      <c r="U194" s="13"/>
      <c r="V194" s="13"/>
      <c r="W194" s="23"/>
      <c r="X194" s="13"/>
      <c r="Y194" s="13"/>
      <c r="Z194" s="13"/>
      <c r="AA194" s="13"/>
      <c r="AB194" s="13"/>
      <c r="AC194" s="13"/>
      <c r="AD194" s="13"/>
      <c r="AE194" s="13"/>
    </row>
    <row r="195" spans="1:31" ht="20.2" customHeight="1" x14ac:dyDescent="0.3">
      <c r="A195" s="14"/>
      <c r="B195" s="41"/>
      <c r="C195" s="31"/>
      <c r="D195" s="31"/>
      <c r="E195" s="31"/>
      <c r="F195" s="32"/>
      <c r="G195" s="42"/>
      <c r="H195" s="18" t="str">
        <f>IFERROR(VLOOKUP(G195,List2!$B$2:$C$100,2,FALSE), "Kerkali xodim topilmadi")</f>
        <v>Kerkali xodim topilmadi</v>
      </c>
      <c r="I195" s="7" t="str">
        <f>IFERROR(VLOOKUP(G195,List2!$B$2:$D$100,3,FALSE), "Kerkali BO'LIM topilmadi")</f>
        <v>Kerkali BO'LIM topilmadi</v>
      </c>
      <c r="J195" s="31"/>
      <c r="K195" s="43"/>
      <c r="L195" s="31"/>
      <c r="M195" s="31"/>
      <c r="N195" s="31"/>
      <c r="O195" s="31"/>
      <c r="P195" s="44"/>
      <c r="Q195" s="31"/>
      <c r="R195" s="45"/>
      <c r="S195" s="22"/>
      <c r="T195" s="22"/>
      <c r="U195" s="13"/>
      <c r="V195" s="13"/>
      <c r="W195" s="23"/>
      <c r="X195" s="13"/>
      <c r="Y195" s="13"/>
      <c r="Z195" s="13"/>
      <c r="AA195" s="13"/>
      <c r="AB195" s="13"/>
      <c r="AC195" s="13"/>
      <c r="AD195" s="13"/>
      <c r="AE195" s="13"/>
    </row>
    <row r="196" spans="1:31" ht="20.2" customHeight="1" x14ac:dyDescent="0.3">
      <c r="A196" s="14"/>
      <c r="B196" s="41"/>
      <c r="C196" s="31"/>
      <c r="D196" s="31"/>
      <c r="E196" s="31"/>
      <c r="F196" s="32"/>
      <c r="G196" s="42"/>
      <c r="H196" s="18" t="str">
        <f>IFERROR(VLOOKUP(G196,List2!$B$2:$C$100,2,FALSE), "Kerkali xodim topilmadi")</f>
        <v>Kerkali xodim topilmadi</v>
      </c>
      <c r="I196" s="7" t="str">
        <f>IFERROR(VLOOKUP(G196,List2!$B$2:$D$100,3,FALSE), "Kerkali BO'LIM topilmadi")</f>
        <v>Kerkali BO'LIM topilmadi</v>
      </c>
      <c r="J196" s="31"/>
      <c r="K196" s="43"/>
      <c r="L196" s="31"/>
      <c r="M196" s="31"/>
      <c r="N196" s="31"/>
      <c r="O196" s="31"/>
      <c r="P196" s="44"/>
      <c r="Q196" s="31"/>
      <c r="R196" s="45"/>
      <c r="S196" s="22"/>
      <c r="T196" s="22"/>
      <c r="U196" s="13"/>
      <c r="V196" s="13"/>
      <c r="W196" s="23"/>
      <c r="X196" s="13"/>
      <c r="Y196" s="13"/>
      <c r="Z196" s="13"/>
      <c r="AA196" s="13"/>
      <c r="AB196" s="13"/>
      <c r="AC196" s="13"/>
      <c r="AD196" s="13"/>
      <c r="AE196" s="13"/>
    </row>
    <row r="197" spans="1:31" ht="20.2" customHeight="1" x14ac:dyDescent="0.3">
      <c r="A197" s="14"/>
      <c r="B197" s="41"/>
      <c r="C197" s="31"/>
      <c r="D197" s="31"/>
      <c r="E197" s="31"/>
      <c r="F197" s="32"/>
      <c r="G197" s="42"/>
      <c r="H197" s="18" t="str">
        <f>IFERROR(VLOOKUP(G197,List2!$B$2:$C$100,2,FALSE), "Kerkali xodim topilmadi")</f>
        <v>Kerkali xodim topilmadi</v>
      </c>
      <c r="I197" s="7" t="str">
        <f>IFERROR(VLOOKUP(G197,List2!$B$2:$D$100,3,FALSE), "Kerkali BO'LIM topilmadi")</f>
        <v>Kerkali BO'LIM topilmadi</v>
      </c>
      <c r="J197" s="31"/>
      <c r="K197" s="43"/>
      <c r="L197" s="31"/>
      <c r="M197" s="31"/>
      <c r="N197" s="31"/>
      <c r="O197" s="31"/>
      <c r="P197" s="44"/>
      <c r="Q197" s="31"/>
      <c r="R197" s="45"/>
      <c r="S197" s="22"/>
      <c r="T197" s="22"/>
      <c r="U197" s="13"/>
      <c r="V197" s="13"/>
      <c r="W197" s="23"/>
      <c r="X197" s="13"/>
      <c r="Y197" s="13"/>
      <c r="Z197" s="13"/>
      <c r="AA197" s="13"/>
      <c r="AB197" s="13"/>
      <c r="AC197" s="13"/>
      <c r="AD197" s="13"/>
      <c r="AE197" s="13"/>
    </row>
    <row r="198" spans="1:31" ht="20.2" customHeight="1" x14ac:dyDescent="0.3">
      <c r="A198" s="14"/>
      <c r="B198" s="41"/>
      <c r="C198" s="31"/>
      <c r="D198" s="31"/>
      <c r="E198" s="31"/>
      <c r="F198" s="32"/>
      <c r="G198" s="42"/>
      <c r="H198" s="18" t="str">
        <f>IFERROR(VLOOKUP(G198,List2!$B$2:$C$100,2,FALSE), "Kerkali xodim topilmadi")</f>
        <v>Kerkali xodim topilmadi</v>
      </c>
      <c r="I198" s="7" t="str">
        <f>IFERROR(VLOOKUP(G198,List2!$B$2:$D$100,3,FALSE), "Kerkali BO'LIM topilmadi")</f>
        <v>Kerkali BO'LIM topilmadi</v>
      </c>
      <c r="J198" s="31"/>
      <c r="K198" s="43"/>
      <c r="L198" s="31"/>
      <c r="M198" s="31"/>
      <c r="N198" s="31"/>
      <c r="O198" s="31"/>
      <c r="P198" s="44"/>
      <c r="Q198" s="31"/>
      <c r="R198" s="45"/>
      <c r="S198" s="22"/>
      <c r="T198" s="22"/>
      <c r="U198" s="13"/>
      <c r="V198" s="13"/>
      <c r="W198" s="23"/>
      <c r="X198" s="13"/>
      <c r="Y198" s="13"/>
      <c r="Z198" s="13"/>
      <c r="AA198" s="13"/>
      <c r="AB198" s="13"/>
      <c r="AC198" s="13"/>
      <c r="AD198" s="13"/>
      <c r="AE198" s="13"/>
    </row>
    <row r="199" spans="1:31" ht="20.2" customHeight="1" x14ac:dyDescent="0.3">
      <c r="A199" s="14"/>
      <c r="B199" s="41"/>
      <c r="C199" s="31"/>
      <c r="D199" s="31"/>
      <c r="E199" s="31"/>
      <c r="F199" s="32"/>
      <c r="G199" s="42"/>
      <c r="H199" s="18" t="str">
        <f>IFERROR(VLOOKUP(G199,List2!$B$2:$C$100,2,FALSE), "Kerkali xodim topilmadi")</f>
        <v>Kerkali xodim topilmadi</v>
      </c>
      <c r="I199" s="7" t="str">
        <f>IFERROR(VLOOKUP(G199,List2!$B$2:$D$100,3,FALSE), "Kerkali BO'LIM topilmadi")</f>
        <v>Kerkali BO'LIM topilmadi</v>
      </c>
      <c r="J199" s="31"/>
      <c r="K199" s="43"/>
      <c r="L199" s="31"/>
      <c r="M199" s="31"/>
      <c r="N199" s="31"/>
      <c r="O199" s="31"/>
      <c r="P199" s="44"/>
      <c r="Q199" s="31"/>
      <c r="R199" s="45"/>
      <c r="S199" s="22"/>
      <c r="T199" s="22"/>
      <c r="U199" s="13"/>
      <c r="V199" s="13"/>
      <c r="W199" s="23"/>
      <c r="X199" s="13"/>
      <c r="Y199" s="13"/>
      <c r="Z199" s="13"/>
      <c r="AA199" s="13"/>
      <c r="AB199" s="13"/>
      <c r="AC199" s="13"/>
      <c r="AD199" s="13"/>
      <c r="AE199" s="13"/>
    </row>
    <row r="200" spans="1:31" ht="20.2" customHeight="1" x14ac:dyDescent="0.3">
      <c r="A200" s="14"/>
      <c r="B200" s="41"/>
      <c r="C200" s="31"/>
      <c r="D200" s="31"/>
      <c r="E200" s="31"/>
      <c r="F200" s="32"/>
      <c r="G200" s="42"/>
      <c r="H200" s="18" t="str">
        <f>IFERROR(VLOOKUP(G200,List2!$B$2:$C$100,2,FALSE), "Kerkali xodim topilmadi")</f>
        <v>Kerkali xodim topilmadi</v>
      </c>
      <c r="I200" s="7" t="str">
        <f>IFERROR(VLOOKUP(G200,List2!$B$2:$D$100,3,FALSE), "Kerkali BO'LIM topilmadi")</f>
        <v>Kerkali BO'LIM topilmadi</v>
      </c>
      <c r="J200" s="31"/>
      <c r="K200" s="43"/>
      <c r="L200" s="31"/>
      <c r="M200" s="31"/>
      <c r="N200" s="31"/>
      <c r="O200" s="31"/>
      <c r="P200" s="44"/>
      <c r="Q200" s="31"/>
      <c r="R200" s="45"/>
      <c r="S200" s="22"/>
      <c r="T200" s="22"/>
      <c r="U200" s="13"/>
      <c r="V200" s="13"/>
      <c r="W200" s="23"/>
      <c r="X200" s="13"/>
      <c r="Y200" s="13"/>
      <c r="Z200" s="13"/>
      <c r="AA200" s="13"/>
      <c r="AB200" s="13"/>
      <c r="AC200" s="13"/>
      <c r="AD200" s="13"/>
      <c r="AE200" s="13"/>
    </row>
    <row r="201" spans="1:31" ht="20.2" customHeight="1" x14ac:dyDescent="0.3">
      <c r="A201" s="14"/>
      <c r="B201" s="41"/>
      <c r="C201" s="31"/>
      <c r="D201" s="31"/>
      <c r="E201" s="31"/>
      <c r="F201" s="32"/>
      <c r="G201" s="42"/>
      <c r="H201" s="18" t="str">
        <f>IFERROR(VLOOKUP(G201,List2!$B$2:$C$100,2,FALSE), "Kerkali xodim topilmadi")</f>
        <v>Kerkali xodim topilmadi</v>
      </c>
      <c r="I201" s="7" t="str">
        <f>IFERROR(VLOOKUP(G201,List2!$B$2:$D$100,3,FALSE), "Kerkali BO'LIM topilmadi")</f>
        <v>Kerkali BO'LIM topilmadi</v>
      </c>
      <c r="J201" s="31"/>
      <c r="K201" s="43"/>
      <c r="L201" s="31"/>
      <c r="M201" s="31"/>
      <c r="N201" s="31"/>
      <c r="O201" s="31"/>
      <c r="P201" s="44"/>
      <c r="Q201" s="31"/>
      <c r="R201" s="45"/>
      <c r="S201" s="22"/>
      <c r="T201" s="22"/>
      <c r="U201" s="13"/>
      <c r="V201" s="13"/>
      <c r="W201" s="23"/>
      <c r="X201" s="13"/>
      <c r="Y201" s="13"/>
      <c r="Z201" s="13"/>
      <c r="AA201" s="13"/>
      <c r="AB201" s="13"/>
      <c r="AC201" s="13"/>
      <c r="AD201" s="13"/>
      <c r="AE201" s="13"/>
    </row>
    <row r="202" spans="1:31" ht="20.2" customHeight="1" x14ac:dyDescent="0.3">
      <c r="A202" s="14"/>
      <c r="B202" s="41"/>
      <c r="C202" s="31"/>
      <c r="D202" s="31"/>
      <c r="E202" s="31"/>
      <c r="F202" s="32"/>
      <c r="G202" s="42"/>
      <c r="H202" s="18" t="str">
        <f>IFERROR(VLOOKUP(G202,List2!$B$2:$C$100,2,FALSE), "Kerkali xodim topilmadi")</f>
        <v>Kerkali xodim topilmadi</v>
      </c>
      <c r="I202" s="7" t="str">
        <f>IFERROR(VLOOKUP(G202,List2!$B$2:$D$100,3,FALSE), "Kerkali BO'LIM topilmadi")</f>
        <v>Kerkali BO'LIM topilmadi</v>
      </c>
      <c r="J202" s="31"/>
      <c r="K202" s="43"/>
      <c r="L202" s="31"/>
      <c r="M202" s="31"/>
      <c r="N202" s="31"/>
      <c r="O202" s="31"/>
      <c r="P202" s="44"/>
      <c r="Q202" s="31"/>
      <c r="R202" s="45"/>
      <c r="S202" s="22"/>
      <c r="T202" s="22"/>
      <c r="U202" s="13"/>
      <c r="V202" s="13"/>
      <c r="W202" s="23"/>
      <c r="X202" s="13"/>
      <c r="Y202" s="13"/>
      <c r="Z202" s="13"/>
      <c r="AA202" s="13"/>
      <c r="AB202" s="13"/>
      <c r="AC202" s="13"/>
      <c r="AD202" s="13"/>
      <c r="AE202" s="13"/>
    </row>
    <row r="203" spans="1:31" ht="20.2" customHeight="1" x14ac:dyDescent="0.3">
      <c r="A203" s="14"/>
      <c r="B203" s="41"/>
      <c r="C203" s="31"/>
      <c r="D203" s="31"/>
      <c r="E203" s="31"/>
      <c r="F203" s="32"/>
      <c r="G203" s="42"/>
      <c r="H203" s="18" t="str">
        <f>IFERROR(VLOOKUP(G203,List2!$B$2:$C$100,2,FALSE), "Kerkali xodim topilmadi")</f>
        <v>Kerkali xodim topilmadi</v>
      </c>
      <c r="I203" s="7" t="str">
        <f>IFERROR(VLOOKUP(G203,List2!$B$2:$D$100,3,FALSE), "Kerkali BO'LIM topilmadi")</f>
        <v>Kerkali BO'LIM topilmadi</v>
      </c>
      <c r="J203" s="31"/>
      <c r="K203" s="43"/>
      <c r="L203" s="31"/>
      <c r="M203" s="31"/>
      <c r="N203" s="31"/>
      <c r="O203" s="31"/>
      <c r="P203" s="44"/>
      <c r="Q203" s="31"/>
      <c r="R203" s="45"/>
      <c r="S203" s="22"/>
      <c r="T203" s="22"/>
      <c r="U203" s="13"/>
      <c r="V203" s="13"/>
      <c r="W203" s="23"/>
      <c r="X203" s="13"/>
      <c r="Y203" s="13"/>
      <c r="Z203" s="13"/>
      <c r="AA203" s="13"/>
      <c r="AB203" s="13"/>
      <c r="AC203" s="13"/>
      <c r="AD203" s="13"/>
      <c r="AE203" s="13"/>
    </row>
    <row r="204" spans="1:31" ht="20.2" customHeight="1" x14ac:dyDescent="0.3">
      <c r="A204" s="14"/>
      <c r="B204" s="41"/>
      <c r="C204" s="31"/>
      <c r="D204" s="31"/>
      <c r="E204" s="31"/>
      <c r="F204" s="32"/>
      <c r="G204" s="42"/>
      <c r="H204" s="18" t="str">
        <f>IFERROR(VLOOKUP(G204,List2!$B$2:$C$100,2,FALSE), "Kerkali xodim topilmadi")</f>
        <v>Kerkali xodim topilmadi</v>
      </c>
      <c r="I204" s="7" t="str">
        <f>IFERROR(VLOOKUP(G204,List2!$B$2:$D$100,3,FALSE), "Kerkali BO'LIM topilmadi")</f>
        <v>Kerkali BO'LIM topilmadi</v>
      </c>
      <c r="J204" s="31"/>
      <c r="K204" s="43"/>
      <c r="L204" s="31"/>
      <c r="M204" s="31"/>
      <c r="N204" s="31"/>
      <c r="O204" s="31"/>
      <c r="P204" s="44"/>
      <c r="Q204" s="31"/>
      <c r="R204" s="45"/>
      <c r="S204" s="22"/>
      <c r="T204" s="22"/>
      <c r="U204" s="13"/>
      <c r="V204" s="13"/>
      <c r="W204" s="23"/>
      <c r="X204" s="13"/>
      <c r="Y204" s="13"/>
      <c r="Z204" s="13"/>
      <c r="AA204" s="13"/>
      <c r="AB204" s="13"/>
      <c r="AC204" s="13"/>
      <c r="AD204" s="13"/>
      <c r="AE204" s="13"/>
    </row>
    <row r="205" spans="1:31" ht="20.2" customHeight="1" x14ac:dyDescent="0.3">
      <c r="A205" s="14"/>
      <c r="B205" s="41"/>
      <c r="C205" s="31"/>
      <c r="D205" s="31"/>
      <c r="E205" s="31"/>
      <c r="F205" s="32"/>
      <c r="G205" s="42"/>
      <c r="H205" s="18" t="str">
        <f>IFERROR(VLOOKUP(G205,List2!$B$2:$C$100,2,FALSE), "Kerkali xodim topilmadi")</f>
        <v>Kerkali xodim topilmadi</v>
      </c>
      <c r="I205" s="7" t="str">
        <f>IFERROR(VLOOKUP(G205,List2!$B$2:$D$100,3,FALSE), "Kerkali BO'LIM topilmadi")</f>
        <v>Kerkali BO'LIM topilmadi</v>
      </c>
      <c r="J205" s="31"/>
      <c r="K205" s="43"/>
      <c r="L205" s="31"/>
      <c r="M205" s="31"/>
      <c r="N205" s="31"/>
      <c r="O205" s="31"/>
      <c r="P205" s="44"/>
      <c r="Q205" s="31"/>
      <c r="R205" s="45"/>
      <c r="S205" s="22"/>
      <c r="T205" s="22"/>
      <c r="U205" s="13"/>
      <c r="V205" s="13"/>
      <c r="W205" s="23"/>
      <c r="X205" s="13"/>
      <c r="Y205" s="13"/>
      <c r="Z205" s="13"/>
      <c r="AA205" s="13"/>
      <c r="AB205" s="13"/>
      <c r="AC205" s="13"/>
      <c r="AD205" s="13"/>
      <c r="AE205" s="13"/>
    </row>
    <row r="206" spans="1:31" ht="20.2" customHeight="1" x14ac:dyDescent="0.3">
      <c r="A206" s="14"/>
      <c r="B206" s="41"/>
      <c r="C206" s="31"/>
      <c r="D206" s="31"/>
      <c r="E206" s="31"/>
      <c r="F206" s="32"/>
      <c r="G206" s="42"/>
      <c r="H206" s="18" t="str">
        <f>IFERROR(VLOOKUP(G206,List2!$B$2:$C$100,2,FALSE), "Kerkali xodim topilmadi")</f>
        <v>Kerkali xodim topilmadi</v>
      </c>
      <c r="I206" s="7" t="str">
        <f>IFERROR(VLOOKUP(G206,List2!$B$2:$D$100,3,FALSE), "Kerkali BO'LIM topilmadi")</f>
        <v>Kerkali BO'LIM topilmadi</v>
      </c>
      <c r="J206" s="31"/>
      <c r="K206" s="43"/>
      <c r="L206" s="31"/>
      <c r="M206" s="31"/>
      <c r="N206" s="31"/>
      <c r="O206" s="31"/>
      <c r="P206" s="44"/>
      <c r="Q206" s="31"/>
      <c r="R206" s="45"/>
      <c r="S206" s="22"/>
      <c r="T206" s="22"/>
      <c r="U206" s="13"/>
      <c r="V206" s="13"/>
      <c r="W206" s="23"/>
      <c r="X206" s="13"/>
      <c r="Y206" s="13"/>
      <c r="Z206" s="13"/>
      <c r="AA206" s="13"/>
      <c r="AB206" s="13"/>
      <c r="AC206" s="13"/>
      <c r="AD206" s="13"/>
      <c r="AE206" s="13"/>
    </row>
    <row r="207" spans="1:31" ht="20.2" customHeight="1" x14ac:dyDescent="0.3">
      <c r="A207" s="14"/>
      <c r="B207" s="41"/>
      <c r="C207" s="31"/>
      <c r="D207" s="31"/>
      <c r="E207" s="31"/>
      <c r="F207" s="32"/>
      <c r="G207" s="42"/>
      <c r="H207" s="18" t="str">
        <f>IFERROR(VLOOKUP(G207,List2!$B$2:$C$100,2,FALSE), "Kerkali xodim topilmadi")</f>
        <v>Kerkali xodim topilmadi</v>
      </c>
      <c r="I207" s="7" t="str">
        <f>IFERROR(VLOOKUP(G207,List2!$B$2:$D$100,3,FALSE), "Kerkali BO'LIM topilmadi")</f>
        <v>Kerkali BO'LIM topilmadi</v>
      </c>
      <c r="J207" s="31"/>
      <c r="K207" s="43"/>
      <c r="L207" s="31"/>
      <c r="M207" s="31"/>
      <c r="N207" s="31"/>
      <c r="O207" s="31"/>
      <c r="P207" s="44"/>
      <c r="Q207" s="31"/>
      <c r="R207" s="45"/>
      <c r="S207" s="22"/>
      <c r="T207" s="22"/>
      <c r="U207" s="13"/>
      <c r="V207" s="13"/>
      <c r="W207" s="23"/>
      <c r="X207" s="13"/>
      <c r="Y207" s="13"/>
      <c r="Z207" s="13"/>
      <c r="AA207" s="13"/>
      <c r="AB207" s="13"/>
      <c r="AC207" s="13"/>
      <c r="AD207" s="13"/>
      <c r="AE207" s="13"/>
    </row>
    <row r="208" spans="1:31" ht="20.2" customHeight="1" x14ac:dyDescent="0.3">
      <c r="A208" s="14"/>
      <c r="B208" s="41"/>
      <c r="C208" s="31"/>
      <c r="D208" s="31"/>
      <c r="E208" s="31"/>
      <c r="F208" s="32"/>
      <c r="G208" s="42"/>
      <c r="H208" s="18" t="str">
        <f>IFERROR(VLOOKUP(G208,List2!$B$2:$C$100,2,FALSE), "Kerkali xodim topilmadi")</f>
        <v>Kerkali xodim topilmadi</v>
      </c>
      <c r="I208" s="7" t="str">
        <f>IFERROR(VLOOKUP(G208,List2!$B$2:$D$100,3,FALSE), "Kerkali BO'LIM topilmadi")</f>
        <v>Kerkali BO'LIM topilmadi</v>
      </c>
      <c r="J208" s="31"/>
      <c r="K208" s="43"/>
      <c r="L208" s="31"/>
      <c r="M208" s="31"/>
      <c r="N208" s="31"/>
      <c r="O208" s="31"/>
      <c r="P208" s="44"/>
      <c r="Q208" s="31"/>
      <c r="R208" s="45"/>
      <c r="S208" s="22"/>
      <c r="T208" s="22"/>
      <c r="U208" s="13"/>
      <c r="V208" s="13"/>
      <c r="W208" s="23"/>
      <c r="X208" s="13"/>
      <c r="Y208" s="13"/>
      <c r="Z208" s="13"/>
      <c r="AA208" s="13"/>
      <c r="AB208" s="13"/>
      <c r="AC208" s="13"/>
      <c r="AD208" s="13"/>
      <c r="AE208" s="13"/>
    </row>
    <row r="209" spans="1:31" ht="20.2" customHeight="1" x14ac:dyDescent="0.3">
      <c r="A209" s="14"/>
      <c r="B209" s="41"/>
      <c r="C209" s="31"/>
      <c r="D209" s="31"/>
      <c r="E209" s="31"/>
      <c r="F209" s="32"/>
      <c r="G209" s="42"/>
      <c r="H209" s="18" t="str">
        <f>IFERROR(VLOOKUP(G209,List2!$B$2:$C$100,2,FALSE), "Kerkali xodim topilmadi")</f>
        <v>Kerkali xodim topilmadi</v>
      </c>
      <c r="I209" s="7" t="str">
        <f>IFERROR(VLOOKUP(G209,List2!$B$2:$D$100,3,FALSE), "Kerkali BO'LIM topilmadi")</f>
        <v>Kerkali BO'LIM topilmadi</v>
      </c>
      <c r="J209" s="31"/>
      <c r="K209" s="43"/>
      <c r="L209" s="31"/>
      <c r="M209" s="31"/>
      <c r="N209" s="31"/>
      <c r="O209" s="31"/>
      <c r="P209" s="44"/>
      <c r="Q209" s="31"/>
      <c r="R209" s="45"/>
      <c r="S209" s="22"/>
      <c r="T209" s="22"/>
      <c r="U209" s="13"/>
      <c r="V209" s="13"/>
      <c r="W209" s="23"/>
      <c r="X209" s="13"/>
      <c r="Y209" s="13"/>
      <c r="Z209" s="13"/>
      <c r="AA209" s="13"/>
      <c r="AB209" s="13"/>
      <c r="AC209" s="13"/>
      <c r="AD209" s="13"/>
      <c r="AE209" s="13"/>
    </row>
    <row r="210" spans="1:31" ht="20.2" customHeight="1" x14ac:dyDescent="0.3">
      <c r="A210" s="14"/>
      <c r="B210" s="41"/>
      <c r="C210" s="31"/>
      <c r="D210" s="31"/>
      <c r="E210" s="31"/>
      <c r="F210" s="32"/>
      <c r="G210" s="42"/>
      <c r="H210" s="18" t="str">
        <f>IFERROR(VLOOKUP(G210,List2!$B$2:$C$100,2,FALSE), "Kerkali xodim topilmadi")</f>
        <v>Kerkali xodim topilmadi</v>
      </c>
      <c r="I210" s="7" t="str">
        <f>IFERROR(VLOOKUP(G210,List2!$B$2:$D$100,3,FALSE), "Kerkali BO'LIM topilmadi")</f>
        <v>Kerkali BO'LIM topilmadi</v>
      </c>
      <c r="J210" s="31"/>
      <c r="K210" s="43"/>
      <c r="L210" s="31"/>
      <c r="M210" s="31"/>
      <c r="N210" s="31"/>
      <c r="O210" s="31"/>
      <c r="P210" s="44"/>
      <c r="Q210" s="31"/>
      <c r="R210" s="45"/>
      <c r="S210" s="22"/>
      <c r="T210" s="22"/>
      <c r="U210" s="13"/>
      <c r="V210" s="13"/>
      <c r="W210" s="23"/>
      <c r="X210" s="13"/>
      <c r="Y210" s="13"/>
      <c r="Z210" s="13"/>
      <c r="AA210" s="13"/>
      <c r="AB210" s="13"/>
      <c r="AC210" s="13"/>
      <c r="AD210" s="13"/>
      <c r="AE210" s="13"/>
    </row>
    <row r="211" spans="1:31" ht="20.2" customHeight="1" x14ac:dyDescent="0.3">
      <c r="A211" s="14"/>
      <c r="B211" s="41"/>
      <c r="C211" s="31"/>
      <c r="D211" s="31"/>
      <c r="E211" s="31"/>
      <c r="F211" s="32"/>
      <c r="G211" s="42"/>
      <c r="H211" s="18" t="str">
        <f>IFERROR(VLOOKUP(G211,List2!$B$2:$C$100,2,FALSE), "Kerkali xodim topilmadi")</f>
        <v>Kerkali xodim topilmadi</v>
      </c>
      <c r="I211" s="7" t="str">
        <f>IFERROR(VLOOKUP(G211,List2!$B$2:$D$100,3,FALSE), "Kerkali BO'LIM topilmadi")</f>
        <v>Kerkali BO'LIM topilmadi</v>
      </c>
      <c r="J211" s="31"/>
      <c r="K211" s="43"/>
      <c r="L211" s="31"/>
      <c r="M211" s="31"/>
      <c r="N211" s="31"/>
      <c r="O211" s="31"/>
      <c r="P211" s="44"/>
      <c r="Q211" s="31"/>
      <c r="R211" s="45"/>
      <c r="S211" s="22"/>
      <c r="T211" s="22"/>
      <c r="U211" s="13"/>
      <c r="V211" s="13"/>
      <c r="W211" s="23"/>
      <c r="X211" s="13"/>
      <c r="Y211" s="13"/>
      <c r="Z211" s="13"/>
      <c r="AA211" s="13"/>
      <c r="AB211" s="13"/>
      <c r="AC211" s="13"/>
      <c r="AD211" s="13"/>
      <c r="AE211" s="13"/>
    </row>
    <row r="212" spans="1:31" ht="20.2" customHeight="1" x14ac:dyDescent="0.3">
      <c r="A212" s="14"/>
      <c r="B212" s="41"/>
      <c r="C212" s="31"/>
      <c r="D212" s="31"/>
      <c r="E212" s="31"/>
      <c r="F212" s="32"/>
      <c r="G212" s="42"/>
      <c r="H212" s="18" t="str">
        <f>IFERROR(VLOOKUP(G212,List2!$B$2:$C$100,2,FALSE), "Kerkali xodim topilmadi")</f>
        <v>Kerkali xodim topilmadi</v>
      </c>
      <c r="I212" s="7" t="str">
        <f>IFERROR(VLOOKUP(G212,List2!$B$2:$D$100,3,FALSE), "Kerkali BO'LIM topilmadi")</f>
        <v>Kerkali BO'LIM topilmadi</v>
      </c>
      <c r="J212" s="31"/>
      <c r="K212" s="43"/>
      <c r="L212" s="31"/>
      <c r="M212" s="31"/>
      <c r="N212" s="31"/>
      <c r="O212" s="31"/>
      <c r="P212" s="44"/>
      <c r="Q212" s="31"/>
      <c r="R212" s="45"/>
      <c r="S212" s="22"/>
      <c r="T212" s="22"/>
      <c r="U212" s="13"/>
      <c r="V212" s="13"/>
      <c r="W212" s="23"/>
      <c r="X212" s="13"/>
      <c r="Y212" s="13"/>
      <c r="Z212" s="13"/>
      <c r="AA212" s="13"/>
      <c r="AB212" s="13"/>
      <c r="AC212" s="13"/>
      <c r="AD212" s="13"/>
      <c r="AE212" s="13"/>
    </row>
    <row r="213" spans="1:31" ht="20.2" customHeight="1" x14ac:dyDescent="0.3">
      <c r="A213" s="14"/>
      <c r="B213" s="41"/>
      <c r="C213" s="31"/>
      <c r="D213" s="31"/>
      <c r="E213" s="31"/>
      <c r="F213" s="32"/>
      <c r="G213" s="42"/>
      <c r="H213" s="18" t="str">
        <f>IFERROR(VLOOKUP(G213,List2!$B$2:$C$100,2,FALSE), "Kerkali xodim topilmadi")</f>
        <v>Kerkali xodim topilmadi</v>
      </c>
      <c r="I213" s="7" t="str">
        <f>IFERROR(VLOOKUP(G213,List2!$B$2:$D$100,3,FALSE), "Kerkali BO'LIM topilmadi")</f>
        <v>Kerkali BO'LIM topilmadi</v>
      </c>
      <c r="J213" s="31"/>
      <c r="K213" s="43"/>
      <c r="L213" s="31"/>
      <c r="M213" s="31"/>
      <c r="N213" s="31"/>
      <c r="O213" s="31"/>
      <c r="P213" s="44"/>
      <c r="Q213" s="31"/>
      <c r="R213" s="45"/>
      <c r="S213" s="22"/>
      <c r="T213" s="22"/>
      <c r="U213" s="13"/>
      <c r="V213" s="13"/>
      <c r="W213" s="23"/>
      <c r="X213" s="13"/>
      <c r="Y213" s="13"/>
      <c r="Z213" s="13"/>
      <c r="AA213" s="13"/>
      <c r="AB213" s="13"/>
      <c r="AC213" s="13"/>
      <c r="AD213" s="13"/>
      <c r="AE213" s="13"/>
    </row>
    <row r="214" spans="1:31" ht="20.2" customHeight="1" x14ac:dyDescent="0.3">
      <c r="A214" s="14"/>
      <c r="B214" s="41"/>
      <c r="C214" s="31"/>
      <c r="D214" s="31"/>
      <c r="E214" s="31"/>
      <c r="F214" s="32"/>
      <c r="G214" s="42"/>
      <c r="H214" s="18" t="str">
        <f>IFERROR(VLOOKUP(G214,List2!$B$2:$C$100,2,FALSE), "Kerkali xodim topilmadi")</f>
        <v>Kerkali xodim topilmadi</v>
      </c>
      <c r="I214" s="7" t="str">
        <f>IFERROR(VLOOKUP(G214,List2!$B$2:$D$100,3,FALSE), "Kerkali BO'LIM topilmadi")</f>
        <v>Kerkali BO'LIM topilmadi</v>
      </c>
      <c r="J214" s="31"/>
      <c r="K214" s="43"/>
      <c r="L214" s="31"/>
      <c r="M214" s="31"/>
      <c r="N214" s="31"/>
      <c r="O214" s="31"/>
      <c r="P214" s="44"/>
      <c r="Q214" s="31"/>
      <c r="R214" s="45"/>
      <c r="S214" s="22"/>
      <c r="T214" s="22"/>
      <c r="U214" s="13"/>
      <c r="V214" s="13"/>
      <c r="W214" s="23"/>
      <c r="X214" s="13"/>
      <c r="Y214" s="13"/>
      <c r="Z214" s="13"/>
      <c r="AA214" s="13"/>
      <c r="AB214" s="13"/>
      <c r="AC214" s="13"/>
      <c r="AD214" s="13"/>
      <c r="AE214" s="13"/>
    </row>
    <row r="215" spans="1:31" ht="20.2" customHeight="1" x14ac:dyDescent="0.3">
      <c r="A215" s="14"/>
      <c r="B215" s="41"/>
      <c r="C215" s="31"/>
      <c r="D215" s="31"/>
      <c r="E215" s="31"/>
      <c r="F215" s="32"/>
      <c r="G215" s="42"/>
      <c r="H215" s="18" t="str">
        <f>IFERROR(VLOOKUP(G215,List2!$B$2:$C$100,2,FALSE), "Kerkali xodim topilmadi")</f>
        <v>Kerkali xodim topilmadi</v>
      </c>
      <c r="I215" s="7" t="str">
        <f>IFERROR(VLOOKUP(G215,List2!$B$2:$D$100,3,FALSE), "Kerkali BO'LIM topilmadi")</f>
        <v>Kerkali BO'LIM topilmadi</v>
      </c>
      <c r="J215" s="31"/>
      <c r="K215" s="43"/>
      <c r="L215" s="31"/>
      <c r="M215" s="31"/>
      <c r="N215" s="31"/>
      <c r="O215" s="31"/>
      <c r="P215" s="44"/>
      <c r="Q215" s="31"/>
      <c r="R215" s="45"/>
      <c r="S215" s="22"/>
      <c r="T215" s="22"/>
      <c r="U215" s="13"/>
      <c r="V215" s="13"/>
      <c r="W215" s="23"/>
      <c r="X215" s="13"/>
      <c r="Y215" s="13"/>
      <c r="Z215" s="13"/>
      <c r="AA215" s="13"/>
      <c r="AB215" s="13"/>
      <c r="AC215" s="13"/>
      <c r="AD215" s="13"/>
      <c r="AE215" s="13"/>
    </row>
    <row r="216" spans="1:31" ht="20.2" customHeight="1" x14ac:dyDescent="0.3">
      <c r="A216" s="14"/>
      <c r="B216" s="41"/>
      <c r="C216" s="31"/>
      <c r="D216" s="31"/>
      <c r="E216" s="31"/>
      <c r="F216" s="32"/>
      <c r="G216" s="42"/>
      <c r="H216" s="18" t="str">
        <f>IFERROR(VLOOKUP(G216,List2!$B$2:$C$100,2,FALSE), "Kerkali xodim topilmadi")</f>
        <v>Kerkali xodim topilmadi</v>
      </c>
      <c r="I216" s="7" t="str">
        <f>IFERROR(VLOOKUP(G216,List2!$B$2:$D$100,3,FALSE), "Kerkali BO'LIM topilmadi")</f>
        <v>Kerkali BO'LIM topilmadi</v>
      </c>
      <c r="J216" s="31"/>
      <c r="K216" s="43"/>
      <c r="L216" s="31"/>
      <c r="M216" s="31"/>
      <c r="N216" s="31"/>
      <c r="O216" s="31"/>
      <c r="P216" s="44"/>
      <c r="Q216" s="31"/>
      <c r="R216" s="45"/>
      <c r="S216" s="22"/>
      <c r="T216" s="22"/>
      <c r="U216" s="13"/>
      <c r="V216" s="13"/>
      <c r="W216" s="23"/>
      <c r="X216" s="13"/>
      <c r="Y216" s="13"/>
      <c r="Z216" s="13"/>
      <c r="AA216" s="13"/>
      <c r="AB216" s="13"/>
      <c r="AC216" s="13"/>
      <c r="AD216" s="13"/>
      <c r="AE216" s="13"/>
    </row>
    <row r="217" spans="1:31" ht="20.2" customHeight="1" x14ac:dyDescent="0.3">
      <c r="A217" s="14"/>
      <c r="B217" s="41"/>
      <c r="C217" s="31"/>
      <c r="D217" s="31"/>
      <c r="E217" s="31"/>
      <c r="F217" s="32"/>
      <c r="G217" s="42"/>
      <c r="H217" s="18" t="str">
        <f>IFERROR(VLOOKUP(G217,List2!$B$2:$C$100,2,FALSE), "Kerkali xodim topilmadi")</f>
        <v>Kerkali xodim topilmadi</v>
      </c>
      <c r="I217" s="7" t="str">
        <f>IFERROR(VLOOKUP(G217,List2!$B$2:$D$100,3,FALSE), "Kerkali BO'LIM topilmadi")</f>
        <v>Kerkali BO'LIM topilmadi</v>
      </c>
      <c r="J217" s="31"/>
      <c r="K217" s="43"/>
      <c r="L217" s="31"/>
      <c r="M217" s="31"/>
      <c r="N217" s="31"/>
      <c r="O217" s="31"/>
      <c r="P217" s="44"/>
      <c r="Q217" s="31"/>
      <c r="R217" s="45"/>
      <c r="S217" s="22"/>
      <c r="T217" s="22"/>
      <c r="U217" s="13"/>
      <c r="V217" s="13"/>
      <c r="W217" s="23"/>
      <c r="X217" s="13"/>
      <c r="Y217" s="13"/>
      <c r="Z217" s="13"/>
      <c r="AA217" s="13"/>
      <c r="AB217" s="13"/>
      <c r="AC217" s="13"/>
      <c r="AD217" s="13"/>
      <c r="AE217" s="13"/>
    </row>
    <row r="218" spans="1:31" ht="20.2" customHeight="1" x14ac:dyDescent="0.3">
      <c r="A218" s="14"/>
      <c r="B218" s="41"/>
      <c r="C218" s="31"/>
      <c r="D218" s="31"/>
      <c r="E218" s="31"/>
      <c r="F218" s="32"/>
      <c r="G218" s="42"/>
      <c r="H218" s="18" t="str">
        <f>IFERROR(VLOOKUP(G218,List2!$B$2:$C$100,2,FALSE), "Kerkali xodim topilmadi")</f>
        <v>Kerkali xodim topilmadi</v>
      </c>
      <c r="I218" s="7" t="str">
        <f>IFERROR(VLOOKUP(G218,List2!$B$2:$D$100,3,FALSE), "Kerkali BO'LIM topilmadi")</f>
        <v>Kerkali BO'LIM topilmadi</v>
      </c>
      <c r="J218" s="31"/>
      <c r="K218" s="43"/>
      <c r="L218" s="31"/>
      <c r="M218" s="31"/>
      <c r="N218" s="31"/>
      <c r="O218" s="31"/>
      <c r="P218" s="44"/>
      <c r="Q218" s="31"/>
      <c r="R218" s="45"/>
      <c r="S218" s="22"/>
      <c r="T218" s="22"/>
      <c r="U218" s="13"/>
      <c r="V218" s="13"/>
      <c r="W218" s="23"/>
      <c r="X218" s="13"/>
      <c r="Y218" s="13"/>
      <c r="Z218" s="13"/>
      <c r="AA218" s="13"/>
      <c r="AB218" s="13"/>
      <c r="AC218" s="13"/>
      <c r="AD218" s="13"/>
      <c r="AE218" s="13"/>
    </row>
    <row r="219" spans="1:31" ht="20.2" customHeight="1" x14ac:dyDescent="0.3">
      <c r="A219" s="14"/>
      <c r="B219" s="41"/>
      <c r="C219" s="31"/>
      <c r="D219" s="31"/>
      <c r="E219" s="31"/>
      <c r="F219" s="32"/>
      <c r="G219" s="42"/>
      <c r="H219" s="18" t="str">
        <f>IFERROR(VLOOKUP(G219,List2!$B$2:$C$100,2,FALSE), "Kerkali xodim topilmadi")</f>
        <v>Kerkali xodim topilmadi</v>
      </c>
      <c r="I219" s="7" t="str">
        <f>IFERROR(VLOOKUP(G219,List2!$B$2:$D$100,3,FALSE), "Kerkali BO'LIM topilmadi")</f>
        <v>Kerkali BO'LIM topilmadi</v>
      </c>
      <c r="J219" s="31"/>
      <c r="K219" s="43"/>
      <c r="L219" s="31"/>
      <c r="M219" s="31"/>
      <c r="N219" s="31"/>
      <c r="O219" s="31"/>
      <c r="P219" s="44"/>
      <c r="Q219" s="31"/>
      <c r="R219" s="45"/>
      <c r="S219" s="22"/>
      <c r="T219" s="22"/>
      <c r="U219" s="13"/>
      <c r="V219" s="13"/>
      <c r="W219" s="23"/>
      <c r="X219" s="13"/>
      <c r="Y219" s="13"/>
      <c r="Z219" s="13"/>
      <c r="AA219" s="13"/>
      <c r="AB219" s="13"/>
      <c r="AC219" s="13"/>
      <c r="AD219" s="13"/>
      <c r="AE219" s="13"/>
    </row>
    <row r="220" spans="1:31" ht="20.2" customHeight="1" x14ac:dyDescent="0.3">
      <c r="A220" s="14"/>
      <c r="B220" s="41"/>
      <c r="C220" s="31"/>
      <c r="D220" s="31"/>
      <c r="E220" s="31"/>
      <c r="F220" s="32"/>
      <c r="G220" s="42"/>
      <c r="H220" s="18" t="str">
        <f>IFERROR(VLOOKUP(G220,List2!$B$2:$C$100,2,FALSE), "Kerkali xodim topilmadi")</f>
        <v>Kerkali xodim topilmadi</v>
      </c>
      <c r="I220" s="7" t="str">
        <f>IFERROR(VLOOKUP(G220,List2!$B$2:$D$100,3,FALSE), "Kerkali BO'LIM topilmadi")</f>
        <v>Kerkali BO'LIM topilmadi</v>
      </c>
      <c r="J220" s="31"/>
      <c r="K220" s="43"/>
      <c r="L220" s="31"/>
      <c r="M220" s="31"/>
      <c r="N220" s="31"/>
      <c r="O220" s="31"/>
      <c r="P220" s="44"/>
      <c r="Q220" s="31"/>
      <c r="R220" s="45"/>
      <c r="S220" s="22"/>
      <c r="T220" s="22"/>
      <c r="U220" s="13"/>
      <c r="V220" s="13"/>
      <c r="W220" s="23"/>
      <c r="X220" s="13"/>
      <c r="Y220" s="13"/>
      <c r="Z220" s="13"/>
      <c r="AA220" s="13"/>
      <c r="AB220" s="13"/>
      <c r="AC220" s="13"/>
      <c r="AD220" s="13"/>
      <c r="AE220" s="13"/>
    </row>
    <row r="221" spans="1:31" ht="20.2" customHeight="1" x14ac:dyDescent="0.3">
      <c r="A221" s="14"/>
      <c r="B221" s="41"/>
      <c r="C221" s="31"/>
      <c r="D221" s="31"/>
      <c r="E221" s="31"/>
      <c r="F221" s="32"/>
      <c r="G221" s="42"/>
      <c r="H221" s="18" t="str">
        <f>IFERROR(VLOOKUP(G221,List2!$B$2:$C$100,2,FALSE), "Kerkali xodim topilmadi")</f>
        <v>Kerkali xodim topilmadi</v>
      </c>
      <c r="I221" s="7" t="str">
        <f>IFERROR(VLOOKUP(G221,List2!$B$2:$D$100,3,FALSE), "Kerkali BO'LIM topilmadi")</f>
        <v>Kerkali BO'LIM topilmadi</v>
      </c>
      <c r="J221" s="31"/>
      <c r="K221" s="43"/>
      <c r="L221" s="31"/>
      <c r="M221" s="31"/>
      <c r="N221" s="31"/>
      <c r="O221" s="31"/>
      <c r="P221" s="44"/>
      <c r="Q221" s="31"/>
      <c r="R221" s="45"/>
      <c r="S221" s="22"/>
      <c r="T221" s="22"/>
      <c r="U221" s="13"/>
      <c r="V221" s="13"/>
      <c r="W221" s="23"/>
      <c r="X221" s="13"/>
      <c r="Y221" s="13"/>
      <c r="Z221" s="13"/>
      <c r="AA221" s="13"/>
      <c r="AB221" s="13"/>
      <c r="AC221" s="13"/>
      <c r="AD221" s="13"/>
      <c r="AE221" s="13"/>
    </row>
    <row r="222" spans="1:31" ht="20.2" customHeight="1" x14ac:dyDescent="0.3">
      <c r="A222" s="14"/>
      <c r="B222" s="41"/>
      <c r="C222" s="31"/>
      <c r="D222" s="31"/>
      <c r="E222" s="31"/>
      <c r="F222" s="32"/>
      <c r="G222" s="42"/>
      <c r="H222" s="18" t="str">
        <f>IFERROR(VLOOKUP(G222,List2!$B$2:$C$100,2,FALSE), "Kerkali xodim topilmadi")</f>
        <v>Kerkali xodim topilmadi</v>
      </c>
      <c r="I222" s="7" t="str">
        <f>IFERROR(VLOOKUP(G222,List2!$B$2:$D$100,3,FALSE), "Kerkali BO'LIM topilmadi")</f>
        <v>Kerkali BO'LIM topilmadi</v>
      </c>
      <c r="J222" s="31"/>
      <c r="K222" s="43"/>
      <c r="L222" s="31"/>
      <c r="M222" s="31"/>
      <c r="N222" s="31"/>
      <c r="O222" s="31"/>
      <c r="P222" s="44"/>
      <c r="Q222" s="31"/>
      <c r="R222" s="45"/>
      <c r="S222" s="22"/>
      <c r="T222" s="22"/>
      <c r="U222" s="13"/>
      <c r="V222" s="13"/>
      <c r="W222" s="23"/>
      <c r="X222" s="13"/>
      <c r="Y222" s="13"/>
      <c r="Z222" s="13"/>
      <c r="AA222" s="13"/>
      <c r="AB222" s="13"/>
      <c r="AC222" s="13"/>
      <c r="AD222" s="13"/>
      <c r="AE222" s="13"/>
    </row>
    <row r="223" spans="1:31" ht="20.2" customHeight="1" x14ac:dyDescent="0.3">
      <c r="A223" s="14"/>
      <c r="B223" s="41"/>
      <c r="C223" s="31"/>
      <c r="D223" s="31"/>
      <c r="E223" s="31"/>
      <c r="F223" s="32"/>
      <c r="G223" s="42"/>
      <c r="H223" s="18" t="str">
        <f>IFERROR(VLOOKUP(G223,List2!$B$2:$C$100,2,FALSE), "Kerkali xodim topilmadi")</f>
        <v>Kerkali xodim topilmadi</v>
      </c>
      <c r="I223" s="7" t="str">
        <f>IFERROR(VLOOKUP(G223,List2!$B$2:$D$100,3,FALSE), "Kerkali BO'LIM topilmadi")</f>
        <v>Kerkali BO'LIM topilmadi</v>
      </c>
      <c r="J223" s="31"/>
      <c r="K223" s="43"/>
      <c r="L223" s="31"/>
      <c r="M223" s="31"/>
      <c r="N223" s="31"/>
      <c r="O223" s="31"/>
      <c r="P223" s="44"/>
      <c r="Q223" s="31"/>
      <c r="R223" s="45"/>
      <c r="S223" s="22"/>
      <c r="T223" s="22"/>
      <c r="U223" s="13"/>
      <c r="V223" s="13"/>
      <c r="W223" s="23"/>
      <c r="X223" s="13"/>
      <c r="Y223" s="13"/>
      <c r="Z223" s="13"/>
      <c r="AA223" s="13"/>
      <c r="AB223" s="13"/>
      <c r="AC223" s="13"/>
      <c r="AD223" s="13"/>
      <c r="AE223" s="13"/>
    </row>
    <row r="224" spans="1:31" ht="20.2" customHeight="1" x14ac:dyDescent="0.3">
      <c r="A224" s="14"/>
      <c r="B224" s="41"/>
      <c r="C224" s="31"/>
      <c r="D224" s="31"/>
      <c r="E224" s="31"/>
      <c r="F224" s="32"/>
      <c r="G224" s="42"/>
      <c r="H224" s="18" t="str">
        <f>IFERROR(VLOOKUP(G224,List2!$B$2:$C$100,2,FALSE), "Kerkali xodim topilmadi")</f>
        <v>Kerkali xodim topilmadi</v>
      </c>
      <c r="I224" s="7" t="str">
        <f>IFERROR(VLOOKUP(G224,List2!$B$2:$D$100,3,FALSE), "Kerkali BO'LIM topilmadi")</f>
        <v>Kerkali BO'LIM topilmadi</v>
      </c>
      <c r="J224" s="31"/>
      <c r="K224" s="43"/>
      <c r="L224" s="31"/>
      <c r="M224" s="31"/>
      <c r="N224" s="31"/>
      <c r="O224" s="31"/>
      <c r="P224" s="44"/>
      <c r="Q224" s="31"/>
      <c r="R224" s="45"/>
      <c r="S224" s="22"/>
      <c r="T224" s="22"/>
      <c r="U224" s="13"/>
      <c r="V224" s="13"/>
      <c r="W224" s="23"/>
      <c r="X224" s="13"/>
      <c r="Y224" s="13"/>
      <c r="Z224" s="13"/>
      <c r="AA224" s="13"/>
      <c r="AB224" s="13"/>
      <c r="AC224" s="13"/>
      <c r="AD224" s="13"/>
      <c r="AE224" s="13"/>
    </row>
    <row r="225" spans="1:31" ht="20.2" customHeight="1" x14ac:dyDescent="0.3">
      <c r="A225" s="14"/>
      <c r="B225" s="41"/>
      <c r="C225" s="31"/>
      <c r="D225" s="31"/>
      <c r="E225" s="31"/>
      <c r="F225" s="32"/>
      <c r="G225" s="42"/>
      <c r="H225" s="18" t="str">
        <f>IFERROR(VLOOKUP(G225,List2!$B$2:$C$100,2,FALSE), "Kerkali xodim topilmadi")</f>
        <v>Kerkali xodim topilmadi</v>
      </c>
      <c r="I225" s="7" t="str">
        <f>IFERROR(VLOOKUP(G225,List2!$B$2:$D$100,3,FALSE), "Kerkali BO'LIM topilmadi")</f>
        <v>Kerkali BO'LIM topilmadi</v>
      </c>
      <c r="J225" s="31"/>
      <c r="K225" s="43"/>
      <c r="L225" s="31"/>
      <c r="M225" s="31"/>
      <c r="N225" s="31"/>
      <c r="O225" s="31"/>
      <c r="P225" s="44"/>
      <c r="Q225" s="31"/>
      <c r="R225" s="45"/>
      <c r="S225" s="22"/>
      <c r="T225" s="22"/>
      <c r="U225" s="13"/>
      <c r="V225" s="13"/>
      <c r="W225" s="23"/>
      <c r="X225" s="13"/>
      <c r="Y225" s="13"/>
      <c r="Z225" s="13"/>
      <c r="AA225" s="13"/>
      <c r="AB225" s="13"/>
      <c r="AC225" s="13"/>
      <c r="AD225" s="13"/>
      <c r="AE225" s="13"/>
    </row>
    <row r="226" spans="1:31" ht="20.2" customHeight="1" x14ac:dyDescent="0.3">
      <c r="A226" s="14"/>
      <c r="B226" s="41"/>
      <c r="C226" s="31"/>
      <c r="D226" s="31"/>
      <c r="E226" s="31"/>
      <c r="F226" s="32"/>
      <c r="G226" s="42"/>
      <c r="H226" s="18" t="str">
        <f>IFERROR(VLOOKUP(G226,List2!$B$2:$C$100,2,FALSE), "Kerkali xodim topilmadi")</f>
        <v>Kerkali xodim topilmadi</v>
      </c>
      <c r="I226" s="7" t="str">
        <f>IFERROR(VLOOKUP(G226,List2!$B$2:$D$100,3,FALSE), "Kerkali BO'LIM topilmadi")</f>
        <v>Kerkali BO'LIM topilmadi</v>
      </c>
      <c r="J226" s="31"/>
      <c r="K226" s="43"/>
      <c r="L226" s="31"/>
      <c r="M226" s="31"/>
      <c r="N226" s="31"/>
      <c r="O226" s="31"/>
      <c r="P226" s="44"/>
      <c r="Q226" s="31"/>
      <c r="R226" s="45"/>
      <c r="S226" s="22"/>
      <c r="T226" s="22"/>
      <c r="U226" s="13"/>
      <c r="V226" s="13"/>
      <c r="W226" s="23"/>
      <c r="X226" s="13"/>
      <c r="Y226" s="13"/>
      <c r="Z226" s="13"/>
      <c r="AA226" s="13"/>
      <c r="AB226" s="13"/>
      <c r="AC226" s="13"/>
      <c r="AD226" s="13"/>
      <c r="AE226" s="13"/>
    </row>
    <row r="227" spans="1:31" ht="20.2" customHeight="1" x14ac:dyDescent="0.3">
      <c r="A227" s="14"/>
      <c r="B227" s="41"/>
      <c r="C227" s="31"/>
      <c r="D227" s="31"/>
      <c r="E227" s="31"/>
      <c r="F227" s="32"/>
      <c r="G227" s="42"/>
      <c r="H227" s="18" t="str">
        <f>IFERROR(VLOOKUP(G227,List2!$B$2:$C$100,2,FALSE), "Kerkali xodim topilmadi")</f>
        <v>Kerkali xodim topilmadi</v>
      </c>
      <c r="I227" s="7" t="str">
        <f>IFERROR(VLOOKUP(G227,List2!$B$2:$D$100,3,FALSE), "Kerkali BO'LIM topilmadi")</f>
        <v>Kerkali BO'LIM topilmadi</v>
      </c>
      <c r="J227" s="31"/>
      <c r="K227" s="43"/>
      <c r="L227" s="31"/>
      <c r="M227" s="31"/>
      <c r="N227" s="31"/>
      <c r="O227" s="31"/>
      <c r="P227" s="44"/>
      <c r="Q227" s="31"/>
      <c r="R227" s="45"/>
      <c r="S227" s="22"/>
      <c r="T227" s="22"/>
      <c r="U227" s="13"/>
      <c r="V227" s="13"/>
      <c r="W227" s="23"/>
      <c r="X227" s="13"/>
      <c r="Y227" s="13"/>
      <c r="Z227" s="13"/>
      <c r="AA227" s="13"/>
      <c r="AB227" s="13"/>
      <c r="AC227" s="13"/>
      <c r="AD227" s="13"/>
      <c r="AE227" s="13"/>
    </row>
    <row r="228" spans="1:31" ht="20.2" customHeight="1" x14ac:dyDescent="0.3">
      <c r="A228" s="14"/>
      <c r="B228" s="41"/>
      <c r="C228" s="31"/>
      <c r="D228" s="31"/>
      <c r="E228" s="31"/>
      <c r="F228" s="32"/>
      <c r="G228" s="42"/>
      <c r="H228" s="18" t="str">
        <f>IFERROR(VLOOKUP(G228,List2!$B$2:$C$100,2,FALSE), "Kerkali xodim topilmadi")</f>
        <v>Kerkali xodim topilmadi</v>
      </c>
      <c r="I228" s="7" t="str">
        <f>IFERROR(VLOOKUP(G228,List2!$B$2:$D$100,3,FALSE), "Kerkali BO'LIM topilmadi")</f>
        <v>Kerkali BO'LIM topilmadi</v>
      </c>
      <c r="J228" s="31"/>
      <c r="K228" s="43"/>
      <c r="L228" s="31"/>
      <c r="M228" s="31"/>
      <c r="N228" s="31"/>
      <c r="O228" s="31"/>
      <c r="P228" s="44"/>
      <c r="Q228" s="31"/>
      <c r="R228" s="45"/>
      <c r="S228" s="22"/>
      <c r="T228" s="22"/>
      <c r="U228" s="13"/>
      <c r="V228" s="13"/>
      <c r="W228" s="23"/>
      <c r="X228" s="13"/>
      <c r="Y228" s="13"/>
      <c r="Z228" s="13"/>
      <c r="AA228" s="13"/>
      <c r="AB228" s="13"/>
      <c r="AC228" s="13"/>
      <c r="AD228" s="13"/>
      <c r="AE228" s="13"/>
    </row>
    <row r="229" spans="1:31" ht="20.2" customHeight="1" x14ac:dyDescent="0.3">
      <c r="A229" s="14"/>
      <c r="B229" s="41"/>
      <c r="C229" s="31"/>
      <c r="D229" s="31"/>
      <c r="E229" s="31"/>
      <c r="F229" s="32"/>
      <c r="G229" s="42"/>
      <c r="H229" s="18" t="str">
        <f>IFERROR(VLOOKUP(G229,List2!$B$2:$C$100,2,FALSE), "Kerkali xodim topilmadi")</f>
        <v>Kerkali xodim topilmadi</v>
      </c>
      <c r="I229" s="7" t="str">
        <f>IFERROR(VLOOKUP(G229,List2!$B$2:$D$100,3,FALSE), "Kerkali BO'LIM topilmadi")</f>
        <v>Kerkali BO'LIM topilmadi</v>
      </c>
      <c r="J229" s="31"/>
      <c r="K229" s="43"/>
      <c r="L229" s="31"/>
      <c r="M229" s="31"/>
      <c r="N229" s="31"/>
      <c r="O229" s="31"/>
      <c r="P229" s="44"/>
      <c r="Q229" s="31"/>
      <c r="R229" s="45"/>
      <c r="S229" s="22"/>
      <c r="T229" s="22"/>
      <c r="U229" s="13"/>
      <c r="V229" s="13"/>
      <c r="W229" s="23"/>
      <c r="X229" s="13"/>
      <c r="Y229" s="13"/>
      <c r="Z229" s="13"/>
      <c r="AA229" s="13"/>
      <c r="AB229" s="13"/>
      <c r="AC229" s="13"/>
      <c r="AD229" s="13"/>
      <c r="AE229" s="13"/>
    </row>
    <row r="230" spans="1:31" ht="20.2" customHeight="1" x14ac:dyDescent="0.3">
      <c r="A230" s="14"/>
      <c r="B230" s="41"/>
      <c r="C230" s="31"/>
      <c r="D230" s="31"/>
      <c r="E230" s="31"/>
      <c r="F230" s="32"/>
      <c r="G230" s="42"/>
      <c r="H230" s="18" t="str">
        <f>IFERROR(VLOOKUP(G230,List2!$B$2:$C$100,2,FALSE), "Kerkali xodim topilmadi")</f>
        <v>Kerkali xodim topilmadi</v>
      </c>
      <c r="I230" s="7" t="str">
        <f>IFERROR(VLOOKUP(G230,List2!$B$2:$D$100,3,FALSE), "Kerkali BO'LIM topilmadi")</f>
        <v>Kerkali BO'LIM topilmadi</v>
      </c>
      <c r="J230" s="31"/>
      <c r="K230" s="43"/>
      <c r="L230" s="31"/>
      <c r="M230" s="31"/>
      <c r="N230" s="31"/>
      <c r="O230" s="31"/>
      <c r="P230" s="44"/>
      <c r="Q230" s="31"/>
      <c r="R230" s="45"/>
      <c r="S230" s="22"/>
      <c r="T230" s="22"/>
      <c r="U230" s="13"/>
      <c r="V230" s="13"/>
      <c r="W230" s="23"/>
      <c r="X230" s="13"/>
      <c r="Y230" s="13"/>
      <c r="Z230" s="13"/>
      <c r="AA230" s="13"/>
      <c r="AB230" s="13"/>
      <c r="AC230" s="13"/>
      <c r="AD230" s="13"/>
      <c r="AE230" s="13"/>
    </row>
    <row r="231" spans="1:31" ht="20.2" customHeight="1" x14ac:dyDescent="0.3">
      <c r="A231" s="14"/>
      <c r="B231" s="41"/>
      <c r="C231" s="31"/>
      <c r="D231" s="31"/>
      <c r="E231" s="31"/>
      <c r="F231" s="32"/>
      <c r="G231" s="42"/>
      <c r="H231" s="18" t="str">
        <f>IFERROR(VLOOKUP(G231,List2!$B$2:$C$100,2,FALSE), "Kerkali xodim topilmadi")</f>
        <v>Kerkali xodim topilmadi</v>
      </c>
      <c r="I231" s="7" t="str">
        <f>IFERROR(VLOOKUP(G231,List2!$B$2:$D$100,3,FALSE), "Kerkali BO'LIM topilmadi")</f>
        <v>Kerkali BO'LIM topilmadi</v>
      </c>
      <c r="J231" s="31"/>
      <c r="K231" s="43"/>
      <c r="L231" s="31"/>
      <c r="M231" s="31"/>
      <c r="N231" s="31"/>
      <c r="O231" s="31"/>
      <c r="P231" s="44"/>
      <c r="Q231" s="31"/>
      <c r="R231" s="45"/>
      <c r="S231" s="22"/>
      <c r="T231" s="22"/>
      <c r="U231" s="13"/>
      <c r="V231" s="13"/>
      <c r="W231" s="23"/>
      <c r="X231" s="13"/>
      <c r="Y231" s="13"/>
      <c r="Z231" s="13"/>
      <c r="AA231" s="13"/>
      <c r="AB231" s="13"/>
      <c r="AC231" s="13"/>
      <c r="AD231" s="13"/>
      <c r="AE231" s="13"/>
    </row>
    <row r="232" spans="1:31" ht="20.2" customHeight="1" x14ac:dyDescent="0.3">
      <c r="A232" s="14"/>
      <c r="B232" s="41"/>
      <c r="C232" s="31"/>
      <c r="D232" s="31"/>
      <c r="E232" s="31"/>
      <c r="F232" s="32"/>
      <c r="G232" s="42"/>
      <c r="H232" s="18" t="str">
        <f>IFERROR(VLOOKUP(G232,List2!$B$2:$C$100,2,FALSE), "Kerkali xodim topilmadi")</f>
        <v>Kerkali xodim topilmadi</v>
      </c>
      <c r="I232" s="7" t="str">
        <f>IFERROR(VLOOKUP(G232,List2!$B$2:$D$100,3,FALSE), "Kerkali BO'LIM topilmadi")</f>
        <v>Kerkali BO'LIM topilmadi</v>
      </c>
      <c r="J232" s="31"/>
      <c r="K232" s="43"/>
      <c r="L232" s="31"/>
      <c r="M232" s="31"/>
      <c r="N232" s="31"/>
      <c r="O232" s="31"/>
      <c r="P232" s="44"/>
      <c r="Q232" s="31"/>
      <c r="R232" s="45"/>
      <c r="S232" s="22"/>
      <c r="T232" s="22"/>
      <c r="U232" s="13"/>
      <c r="V232" s="13"/>
      <c r="W232" s="23"/>
      <c r="X232" s="13"/>
      <c r="Y232" s="13"/>
      <c r="Z232" s="13"/>
      <c r="AA232" s="13"/>
      <c r="AB232" s="13"/>
      <c r="AC232" s="13"/>
      <c r="AD232" s="13"/>
      <c r="AE232" s="13"/>
    </row>
    <row r="233" spans="1:31" ht="20.2" customHeight="1" x14ac:dyDescent="0.3">
      <c r="A233" s="14"/>
      <c r="B233" s="41"/>
      <c r="C233" s="31"/>
      <c r="D233" s="31"/>
      <c r="E233" s="31"/>
      <c r="F233" s="32"/>
      <c r="G233" s="42"/>
      <c r="H233" s="18" t="str">
        <f>IFERROR(VLOOKUP(G233,List2!$B$2:$C$100,2,FALSE), "Kerkali xodim topilmadi")</f>
        <v>Kerkali xodim topilmadi</v>
      </c>
      <c r="I233" s="7" t="str">
        <f>IFERROR(VLOOKUP(G233,List2!$B$2:$D$100,3,FALSE), "Kerkali BO'LIM topilmadi")</f>
        <v>Kerkali BO'LIM topilmadi</v>
      </c>
      <c r="J233" s="31"/>
      <c r="K233" s="43"/>
      <c r="L233" s="31"/>
      <c r="M233" s="31"/>
      <c r="N233" s="31"/>
      <c r="O233" s="31"/>
      <c r="P233" s="44"/>
      <c r="Q233" s="31"/>
      <c r="R233" s="45"/>
      <c r="S233" s="22"/>
      <c r="T233" s="22"/>
      <c r="U233" s="13"/>
      <c r="V233" s="13"/>
      <c r="W233" s="23"/>
      <c r="X233" s="13"/>
      <c r="Y233" s="13"/>
      <c r="Z233" s="13"/>
      <c r="AA233" s="13"/>
      <c r="AB233" s="13"/>
      <c r="AC233" s="13"/>
      <c r="AD233" s="13"/>
      <c r="AE233" s="13"/>
    </row>
    <row r="234" spans="1:31" ht="20.2" customHeight="1" x14ac:dyDescent="0.3">
      <c r="A234" s="14"/>
      <c r="B234" s="41"/>
      <c r="C234" s="31"/>
      <c r="D234" s="31"/>
      <c r="E234" s="31"/>
      <c r="F234" s="32"/>
      <c r="G234" s="42"/>
      <c r="H234" s="18" t="str">
        <f>IFERROR(VLOOKUP(G234,List2!$B$2:$C$100,2,FALSE), "Kerkali xodim topilmadi")</f>
        <v>Kerkali xodim topilmadi</v>
      </c>
      <c r="I234" s="7" t="str">
        <f>IFERROR(VLOOKUP(G234,List2!$B$2:$D$100,3,FALSE), "Kerkali BO'LIM topilmadi")</f>
        <v>Kerkali BO'LIM topilmadi</v>
      </c>
      <c r="J234" s="31"/>
      <c r="K234" s="43"/>
      <c r="L234" s="31"/>
      <c r="M234" s="31"/>
      <c r="N234" s="31"/>
      <c r="O234" s="31"/>
      <c r="P234" s="44"/>
      <c r="Q234" s="31"/>
      <c r="R234" s="45"/>
      <c r="S234" s="22"/>
      <c r="T234" s="22"/>
      <c r="U234" s="13"/>
      <c r="V234" s="13"/>
      <c r="W234" s="23"/>
      <c r="X234" s="13"/>
      <c r="Y234" s="13"/>
      <c r="Z234" s="13"/>
      <c r="AA234" s="13"/>
      <c r="AB234" s="13"/>
      <c r="AC234" s="13"/>
      <c r="AD234" s="13"/>
      <c r="AE234" s="13"/>
    </row>
    <row r="235" spans="1:31" ht="20.2" customHeight="1" x14ac:dyDescent="0.3">
      <c r="A235" s="14"/>
      <c r="B235" s="41"/>
      <c r="C235" s="31"/>
      <c r="D235" s="31"/>
      <c r="E235" s="31"/>
      <c r="F235" s="32"/>
      <c r="G235" s="42"/>
      <c r="H235" s="18" t="str">
        <f>IFERROR(VLOOKUP(G235,List2!$B$2:$C$100,2,FALSE), "Kerkali xodim topilmadi")</f>
        <v>Kerkali xodim topilmadi</v>
      </c>
      <c r="I235" s="7" t="str">
        <f>IFERROR(VLOOKUP(G235,List2!$B$2:$D$100,3,FALSE), "Kerkali BO'LIM topilmadi")</f>
        <v>Kerkali BO'LIM topilmadi</v>
      </c>
      <c r="J235" s="31"/>
      <c r="K235" s="43"/>
      <c r="L235" s="31"/>
      <c r="M235" s="31"/>
      <c r="N235" s="31"/>
      <c r="O235" s="31"/>
      <c r="P235" s="44"/>
      <c r="Q235" s="31"/>
      <c r="R235" s="45"/>
      <c r="S235" s="22"/>
      <c r="T235" s="22"/>
      <c r="U235" s="13"/>
      <c r="V235" s="13"/>
      <c r="W235" s="23"/>
      <c r="X235" s="13"/>
      <c r="Y235" s="13"/>
      <c r="Z235" s="13"/>
      <c r="AA235" s="13"/>
      <c r="AB235" s="13"/>
      <c r="AC235" s="13"/>
      <c r="AD235" s="13"/>
      <c r="AE235" s="13"/>
    </row>
    <row r="236" spans="1:31" ht="20.2" customHeight="1" x14ac:dyDescent="0.3">
      <c r="A236" s="14"/>
      <c r="B236" s="41"/>
      <c r="C236" s="31"/>
      <c r="D236" s="31"/>
      <c r="E236" s="31"/>
      <c r="F236" s="32"/>
      <c r="G236" s="42"/>
      <c r="H236" s="18" t="str">
        <f>IFERROR(VLOOKUP(G236,List2!$B$2:$C$100,2,FALSE), "Kerkali xodim topilmadi")</f>
        <v>Kerkali xodim topilmadi</v>
      </c>
      <c r="I236" s="7" t="str">
        <f>IFERROR(VLOOKUP(G236,List2!$B$2:$D$100,3,FALSE), "Kerkali BO'LIM topilmadi")</f>
        <v>Kerkali BO'LIM topilmadi</v>
      </c>
      <c r="J236" s="31"/>
      <c r="K236" s="43"/>
      <c r="L236" s="31"/>
      <c r="M236" s="31"/>
      <c r="N236" s="31"/>
      <c r="O236" s="31"/>
      <c r="P236" s="44"/>
      <c r="Q236" s="31"/>
      <c r="R236" s="45"/>
      <c r="S236" s="22"/>
      <c r="T236" s="22"/>
      <c r="U236" s="13"/>
      <c r="V236" s="13"/>
      <c r="W236" s="23"/>
      <c r="X236" s="13"/>
      <c r="Y236" s="13"/>
      <c r="Z236" s="13"/>
      <c r="AA236" s="13"/>
      <c r="AB236" s="13"/>
      <c r="AC236" s="13"/>
      <c r="AD236" s="13"/>
      <c r="AE236" s="13"/>
    </row>
    <row r="237" spans="1:31" ht="20.2" customHeight="1" x14ac:dyDescent="0.3">
      <c r="A237" s="14"/>
      <c r="B237" s="41"/>
      <c r="C237" s="31"/>
      <c r="D237" s="31"/>
      <c r="E237" s="31"/>
      <c r="F237" s="32"/>
      <c r="G237" s="42"/>
      <c r="H237" s="18" t="str">
        <f>IFERROR(VLOOKUP(G237,List2!$B$2:$C$100,2,FALSE), "Kerkali xodim topilmadi")</f>
        <v>Kerkali xodim topilmadi</v>
      </c>
      <c r="I237" s="7" t="str">
        <f>IFERROR(VLOOKUP(G237,List2!$B$2:$D$100,3,FALSE), "Kerkali BO'LIM topilmadi")</f>
        <v>Kerkali BO'LIM topilmadi</v>
      </c>
      <c r="J237" s="31"/>
      <c r="K237" s="43"/>
      <c r="L237" s="31"/>
      <c r="M237" s="31"/>
      <c r="N237" s="31"/>
      <c r="O237" s="31"/>
      <c r="P237" s="44"/>
      <c r="Q237" s="31"/>
      <c r="R237" s="45"/>
      <c r="S237" s="22"/>
      <c r="T237" s="22"/>
      <c r="U237" s="13"/>
      <c r="V237" s="13"/>
      <c r="W237" s="23"/>
      <c r="X237" s="13"/>
      <c r="Y237" s="13"/>
      <c r="Z237" s="13"/>
      <c r="AA237" s="13"/>
      <c r="AB237" s="13"/>
      <c r="AC237" s="13"/>
      <c r="AD237" s="13"/>
      <c r="AE237" s="13"/>
    </row>
    <row r="238" spans="1:31" ht="20.2" customHeight="1" x14ac:dyDescent="0.3">
      <c r="A238" s="14"/>
      <c r="B238" s="41"/>
      <c r="C238" s="31"/>
      <c r="D238" s="31"/>
      <c r="E238" s="31"/>
      <c r="F238" s="32"/>
      <c r="G238" s="42"/>
      <c r="H238" s="18" t="str">
        <f>IFERROR(VLOOKUP(G238,List2!$B$2:$C$100,2,FALSE), "Kerkali xodim topilmadi")</f>
        <v>Kerkali xodim topilmadi</v>
      </c>
      <c r="I238" s="7" t="str">
        <f>IFERROR(VLOOKUP(G238,List2!$B$2:$D$100,3,FALSE), "Kerkali BO'LIM topilmadi")</f>
        <v>Kerkali BO'LIM topilmadi</v>
      </c>
      <c r="J238" s="31"/>
      <c r="K238" s="43"/>
      <c r="L238" s="31"/>
      <c r="M238" s="31"/>
      <c r="N238" s="31"/>
      <c r="O238" s="31"/>
      <c r="P238" s="44"/>
      <c r="Q238" s="31"/>
      <c r="R238" s="45"/>
      <c r="S238" s="22"/>
      <c r="T238" s="22"/>
      <c r="U238" s="13"/>
      <c r="V238" s="13"/>
      <c r="W238" s="23"/>
      <c r="X238" s="13"/>
      <c r="Y238" s="13"/>
      <c r="Z238" s="13"/>
      <c r="AA238" s="13"/>
      <c r="AB238" s="13"/>
      <c r="AC238" s="13"/>
      <c r="AD238" s="13"/>
      <c r="AE238" s="13"/>
    </row>
    <row r="239" spans="1:31" ht="20.2" customHeight="1" x14ac:dyDescent="0.3">
      <c r="A239" s="14"/>
      <c r="B239" s="41"/>
      <c r="C239" s="31"/>
      <c r="D239" s="31"/>
      <c r="E239" s="31"/>
      <c r="F239" s="32"/>
      <c r="G239" s="42"/>
      <c r="H239" s="18" t="str">
        <f>IFERROR(VLOOKUP(G239,List2!$B$2:$C$100,2,FALSE), "Kerkali xodim topilmadi")</f>
        <v>Kerkali xodim topilmadi</v>
      </c>
      <c r="I239" s="7" t="str">
        <f>IFERROR(VLOOKUP(G239,List2!$B$2:$D$100,3,FALSE), "Kerkali BO'LIM topilmadi")</f>
        <v>Kerkali BO'LIM topilmadi</v>
      </c>
      <c r="J239" s="31"/>
      <c r="K239" s="43"/>
      <c r="L239" s="31"/>
      <c r="M239" s="31"/>
      <c r="N239" s="31"/>
      <c r="O239" s="31"/>
      <c r="P239" s="44"/>
      <c r="Q239" s="31"/>
      <c r="R239" s="45"/>
      <c r="S239" s="22"/>
      <c r="T239" s="22"/>
      <c r="U239" s="13"/>
      <c r="V239" s="13"/>
      <c r="W239" s="23"/>
      <c r="X239" s="13"/>
      <c r="Y239" s="13"/>
      <c r="Z239" s="13"/>
      <c r="AA239" s="13"/>
      <c r="AB239" s="13"/>
      <c r="AC239" s="13"/>
      <c r="AD239" s="13"/>
      <c r="AE239" s="13"/>
    </row>
    <row r="240" spans="1:31" ht="20.2" customHeight="1" x14ac:dyDescent="0.3">
      <c r="A240" s="14"/>
      <c r="B240" s="41"/>
      <c r="C240" s="31"/>
      <c r="D240" s="31"/>
      <c r="E240" s="31"/>
      <c r="F240" s="32"/>
      <c r="G240" s="42"/>
      <c r="H240" s="18" t="str">
        <f>IFERROR(VLOOKUP(G240,List2!$B$2:$C$100,2,FALSE), "Kerkali xodim topilmadi")</f>
        <v>Kerkali xodim topilmadi</v>
      </c>
      <c r="I240" s="7" t="str">
        <f>IFERROR(VLOOKUP(G240,List2!$B$2:$D$100,3,FALSE), "Kerkali BO'LIM topilmadi")</f>
        <v>Kerkali BO'LIM topilmadi</v>
      </c>
      <c r="J240" s="31"/>
      <c r="K240" s="43"/>
      <c r="L240" s="31"/>
      <c r="M240" s="31"/>
      <c r="N240" s="31"/>
      <c r="O240" s="31"/>
      <c r="P240" s="44"/>
      <c r="Q240" s="31"/>
      <c r="R240" s="45"/>
      <c r="S240" s="22"/>
      <c r="T240" s="22"/>
      <c r="U240" s="13"/>
      <c r="V240" s="13"/>
      <c r="W240" s="23"/>
      <c r="X240" s="13"/>
      <c r="Y240" s="13"/>
      <c r="Z240" s="13"/>
      <c r="AA240" s="13"/>
      <c r="AB240" s="13"/>
      <c r="AC240" s="13"/>
      <c r="AD240" s="13"/>
      <c r="AE240" s="13"/>
    </row>
    <row r="241" spans="1:31" ht="20.2" customHeight="1" x14ac:dyDescent="0.3">
      <c r="A241" s="14"/>
      <c r="B241" s="41"/>
      <c r="C241" s="31"/>
      <c r="D241" s="31"/>
      <c r="E241" s="31"/>
      <c r="F241" s="32"/>
      <c r="G241" s="42"/>
      <c r="H241" s="18" t="str">
        <f>IFERROR(VLOOKUP(G241,List2!$B$2:$C$100,2,FALSE), "Kerkali xodim topilmadi")</f>
        <v>Kerkali xodim topilmadi</v>
      </c>
      <c r="I241" s="7" t="str">
        <f>IFERROR(VLOOKUP(G241,List2!$B$2:$D$100,3,FALSE), "Kerkali BO'LIM topilmadi")</f>
        <v>Kerkali BO'LIM topilmadi</v>
      </c>
      <c r="J241" s="31"/>
      <c r="K241" s="43"/>
      <c r="L241" s="31"/>
      <c r="M241" s="31"/>
      <c r="N241" s="31"/>
      <c r="O241" s="31"/>
      <c r="P241" s="44"/>
      <c r="Q241" s="31"/>
      <c r="R241" s="45"/>
      <c r="S241" s="22"/>
      <c r="T241" s="22"/>
      <c r="U241" s="13"/>
      <c r="V241" s="13"/>
      <c r="W241" s="23"/>
      <c r="X241" s="13"/>
      <c r="Y241" s="13"/>
      <c r="Z241" s="13"/>
      <c r="AA241" s="13"/>
      <c r="AB241" s="13"/>
      <c r="AC241" s="13"/>
      <c r="AD241" s="13"/>
      <c r="AE241" s="13"/>
    </row>
    <row r="242" spans="1:31" ht="20.2" customHeight="1" x14ac:dyDescent="0.3">
      <c r="A242" s="14"/>
      <c r="B242" s="41"/>
      <c r="C242" s="31"/>
      <c r="D242" s="31"/>
      <c r="E242" s="31"/>
      <c r="F242" s="32"/>
      <c r="G242" s="42"/>
      <c r="H242" s="18" t="str">
        <f>IFERROR(VLOOKUP(G242,List2!$B$2:$C$100,2,FALSE), "Kerkali xodim topilmadi")</f>
        <v>Kerkali xodim topilmadi</v>
      </c>
      <c r="I242" s="7" t="str">
        <f>IFERROR(VLOOKUP(G242,List2!$B$2:$D$100,3,FALSE), "Kerkali BO'LIM topilmadi")</f>
        <v>Kerkali BO'LIM topilmadi</v>
      </c>
      <c r="J242" s="31"/>
      <c r="K242" s="43"/>
      <c r="L242" s="31"/>
      <c r="M242" s="31"/>
      <c r="N242" s="31"/>
      <c r="O242" s="31"/>
      <c r="P242" s="44"/>
      <c r="Q242" s="31"/>
      <c r="R242" s="45"/>
      <c r="S242" s="22"/>
      <c r="T242" s="22"/>
      <c r="U242" s="13"/>
      <c r="V242" s="13"/>
      <c r="W242" s="23"/>
      <c r="X242" s="13"/>
      <c r="Y242" s="13"/>
      <c r="Z242" s="13"/>
      <c r="AA242" s="13"/>
      <c r="AB242" s="13"/>
      <c r="AC242" s="13"/>
      <c r="AD242" s="13"/>
      <c r="AE242" s="13"/>
    </row>
    <row r="243" spans="1:31" ht="20.2" customHeight="1" x14ac:dyDescent="0.3">
      <c r="A243" s="14"/>
      <c r="B243" s="41"/>
      <c r="C243" s="31"/>
      <c r="D243" s="31"/>
      <c r="E243" s="31"/>
      <c r="F243" s="32"/>
      <c r="G243" s="42"/>
      <c r="H243" s="18" t="str">
        <f>IFERROR(VLOOKUP(G243,List2!$B$2:$C$100,2,FALSE), "Kerkali xodim topilmadi")</f>
        <v>Kerkali xodim topilmadi</v>
      </c>
      <c r="I243" s="7" t="str">
        <f>IFERROR(VLOOKUP(G243,List2!$B$2:$D$100,3,FALSE), "Kerkali BO'LIM topilmadi")</f>
        <v>Kerkali BO'LIM topilmadi</v>
      </c>
      <c r="J243" s="31"/>
      <c r="K243" s="43"/>
      <c r="L243" s="31"/>
      <c r="M243" s="31"/>
      <c r="N243" s="31"/>
      <c r="O243" s="31"/>
      <c r="P243" s="44"/>
      <c r="Q243" s="31"/>
      <c r="R243" s="45"/>
      <c r="S243" s="22"/>
      <c r="T243" s="22"/>
      <c r="U243" s="13"/>
      <c r="V243" s="13"/>
      <c r="W243" s="23"/>
      <c r="X243" s="13"/>
      <c r="Y243" s="13"/>
      <c r="Z243" s="13"/>
      <c r="AA243" s="13"/>
      <c r="AB243" s="13"/>
      <c r="AC243" s="13"/>
      <c r="AD243" s="13"/>
      <c r="AE243" s="13"/>
    </row>
    <row r="244" spans="1:31" ht="20.2" customHeight="1" x14ac:dyDescent="0.3">
      <c r="A244" s="14"/>
      <c r="B244" s="41"/>
      <c r="C244" s="31"/>
      <c r="D244" s="31"/>
      <c r="E244" s="31"/>
      <c r="F244" s="32"/>
      <c r="G244" s="42"/>
      <c r="H244" s="18" t="str">
        <f>IFERROR(VLOOKUP(G244,List2!$B$2:$C$100,2,FALSE), "Kerkali xodim topilmadi")</f>
        <v>Kerkali xodim topilmadi</v>
      </c>
      <c r="I244" s="7" t="str">
        <f>IFERROR(VLOOKUP(G244,List2!$B$2:$D$100,3,FALSE), "Kerkali BO'LIM topilmadi")</f>
        <v>Kerkali BO'LIM topilmadi</v>
      </c>
      <c r="J244" s="31"/>
      <c r="K244" s="43"/>
      <c r="L244" s="31"/>
      <c r="M244" s="31"/>
      <c r="N244" s="31"/>
      <c r="O244" s="31"/>
      <c r="P244" s="44"/>
      <c r="Q244" s="31"/>
      <c r="R244" s="45"/>
      <c r="S244" s="22"/>
      <c r="T244" s="22"/>
      <c r="U244" s="13"/>
      <c r="V244" s="13"/>
      <c r="W244" s="23"/>
      <c r="X244" s="13"/>
      <c r="Y244" s="13"/>
      <c r="Z244" s="13"/>
      <c r="AA244" s="13"/>
      <c r="AB244" s="13"/>
      <c r="AC244" s="13"/>
      <c r="AD244" s="13"/>
      <c r="AE244" s="13"/>
    </row>
    <row r="245" spans="1:31" ht="20.2" customHeight="1" x14ac:dyDescent="0.3">
      <c r="A245" s="14"/>
      <c r="B245" s="41"/>
      <c r="C245" s="31"/>
      <c r="D245" s="31"/>
      <c r="E245" s="31"/>
      <c r="F245" s="32"/>
      <c r="G245" s="42"/>
      <c r="H245" s="18" t="str">
        <f>IFERROR(VLOOKUP(G245,List2!$B$2:$C$100,2,FALSE), "Kerkali xodim topilmadi")</f>
        <v>Kerkali xodim topilmadi</v>
      </c>
      <c r="I245" s="7" t="str">
        <f>IFERROR(VLOOKUP(G245,List2!$B$2:$D$100,3,FALSE), "Kerkali BO'LIM topilmadi")</f>
        <v>Kerkali BO'LIM topilmadi</v>
      </c>
      <c r="J245" s="31"/>
      <c r="K245" s="43"/>
      <c r="L245" s="31"/>
      <c r="M245" s="31"/>
      <c r="N245" s="31"/>
      <c r="O245" s="31"/>
      <c r="P245" s="44"/>
      <c r="Q245" s="31"/>
      <c r="R245" s="45"/>
      <c r="S245" s="22"/>
      <c r="T245" s="22"/>
      <c r="U245" s="13"/>
      <c r="V245" s="13"/>
      <c r="W245" s="23"/>
      <c r="X245" s="13"/>
      <c r="Y245" s="13"/>
      <c r="Z245" s="13"/>
      <c r="AA245" s="13"/>
      <c r="AB245" s="13"/>
      <c r="AC245" s="13"/>
      <c r="AD245" s="13"/>
      <c r="AE245" s="13"/>
    </row>
    <row r="246" spans="1:31" ht="20.2" customHeight="1" x14ac:dyDescent="0.3">
      <c r="A246" s="14"/>
      <c r="B246" s="41"/>
      <c r="C246" s="31"/>
      <c r="D246" s="31"/>
      <c r="E246" s="31"/>
      <c r="F246" s="32"/>
      <c r="G246" s="42"/>
      <c r="H246" s="18" t="str">
        <f>IFERROR(VLOOKUP(G246,List2!$B$2:$C$100,2,FALSE), "Kerkali xodim topilmadi")</f>
        <v>Kerkali xodim topilmadi</v>
      </c>
      <c r="I246" s="7" t="str">
        <f>IFERROR(VLOOKUP(G246,List2!$B$2:$D$100,3,FALSE), "Kerkali BO'LIM topilmadi")</f>
        <v>Kerkali BO'LIM topilmadi</v>
      </c>
      <c r="J246" s="31"/>
      <c r="K246" s="43"/>
      <c r="L246" s="31"/>
      <c r="M246" s="31"/>
      <c r="N246" s="31"/>
      <c r="O246" s="31"/>
      <c r="P246" s="44"/>
      <c r="Q246" s="31"/>
      <c r="R246" s="45"/>
      <c r="S246" s="22"/>
      <c r="T246" s="22"/>
      <c r="U246" s="13"/>
      <c r="V246" s="13"/>
      <c r="W246" s="23"/>
      <c r="X246" s="13"/>
      <c r="Y246" s="13"/>
      <c r="Z246" s="13"/>
      <c r="AA246" s="13"/>
      <c r="AB246" s="13"/>
      <c r="AC246" s="13"/>
      <c r="AD246" s="13"/>
      <c r="AE246" s="13"/>
    </row>
    <row r="247" spans="1:31" ht="20.2" customHeight="1" x14ac:dyDescent="0.3">
      <c r="A247" s="14"/>
      <c r="B247" s="41"/>
      <c r="C247" s="31"/>
      <c r="D247" s="31"/>
      <c r="E247" s="31"/>
      <c r="F247" s="32"/>
      <c r="G247" s="42"/>
      <c r="H247" s="18" t="str">
        <f>IFERROR(VLOOKUP(G247,List2!$B$2:$C$100,2,FALSE), "Kerkali xodim topilmadi")</f>
        <v>Kerkali xodim topilmadi</v>
      </c>
      <c r="I247" s="7" t="str">
        <f>IFERROR(VLOOKUP(G247,List2!$B$2:$D$100,3,FALSE), "Kerkali BO'LIM topilmadi")</f>
        <v>Kerkali BO'LIM topilmadi</v>
      </c>
      <c r="J247" s="31"/>
      <c r="K247" s="43"/>
      <c r="L247" s="31"/>
      <c r="M247" s="31"/>
      <c r="N247" s="31"/>
      <c r="O247" s="31"/>
      <c r="P247" s="44"/>
      <c r="Q247" s="31"/>
      <c r="R247" s="45"/>
      <c r="S247" s="22"/>
      <c r="T247" s="22"/>
      <c r="U247" s="13"/>
      <c r="V247" s="13"/>
      <c r="W247" s="23"/>
      <c r="X247" s="13"/>
      <c r="Y247" s="13"/>
      <c r="Z247" s="13"/>
      <c r="AA247" s="13"/>
      <c r="AB247" s="13"/>
      <c r="AC247" s="13"/>
      <c r="AD247" s="13"/>
      <c r="AE247" s="13"/>
    </row>
    <row r="248" spans="1:31" ht="20.2" customHeight="1" x14ac:dyDescent="0.3">
      <c r="A248" s="14"/>
      <c r="B248" s="41"/>
      <c r="C248" s="31"/>
      <c r="D248" s="31"/>
      <c r="E248" s="31"/>
      <c r="F248" s="32"/>
      <c r="G248" s="42"/>
      <c r="H248" s="18" t="str">
        <f>IFERROR(VLOOKUP(G248,List2!$B$2:$C$100,2,FALSE), "Kerkali xodim topilmadi")</f>
        <v>Kerkali xodim topilmadi</v>
      </c>
      <c r="I248" s="7" t="str">
        <f>IFERROR(VLOOKUP(G248,List2!$B$2:$D$100,3,FALSE), "Kerkali BO'LIM topilmadi")</f>
        <v>Kerkali BO'LIM topilmadi</v>
      </c>
      <c r="J248" s="31"/>
      <c r="K248" s="43"/>
      <c r="L248" s="31"/>
      <c r="M248" s="31"/>
      <c r="N248" s="31"/>
      <c r="O248" s="31"/>
      <c r="P248" s="44"/>
      <c r="Q248" s="31"/>
      <c r="R248" s="45"/>
      <c r="S248" s="22"/>
      <c r="T248" s="22"/>
      <c r="U248" s="13"/>
      <c r="V248" s="13"/>
      <c r="W248" s="23"/>
      <c r="X248" s="13"/>
      <c r="Y248" s="13"/>
      <c r="Z248" s="13"/>
      <c r="AA248" s="13"/>
      <c r="AB248" s="13"/>
      <c r="AC248" s="13"/>
      <c r="AD248" s="13"/>
      <c r="AE248" s="13"/>
    </row>
    <row r="249" spans="1:31" ht="20.2" customHeight="1" x14ac:dyDescent="0.3">
      <c r="A249" s="14"/>
      <c r="B249" s="41"/>
      <c r="C249" s="31"/>
      <c r="D249" s="31"/>
      <c r="E249" s="31"/>
      <c r="F249" s="32"/>
      <c r="G249" s="42"/>
      <c r="H249" s="18" t="str">
        <f>IFERROR(VLOOKUP(G249,List2!$B$2:$C$100,2,FALSE), "Kerkali xodim topilmadi")</f>
        <v>Kerkali xodim topilmadi</v>
      </c>
      <c r="I249" s="7" t="str">
        <f>IFERROR(VLOOKUP(G249,List2!$B$2:$D$100,3,FALSE), "Kerkali BO'LIM topilmadi")</f>
        <v>Kerkali BO'LIM topilmadi</v>
      </c>
      <c r="J249" s="31"/>
      <c r="K249" s="43"/>
      <c r="L249" s="31"/>
      <c r="M249" s="31"/>
      <c r="N249" s="31"/>
      <c r="O249" s="31"/>
      <c r="P249" s="44"/>
      <c r="Q249" s="31"/>
      <c r="R249" s="45"/>
      <c r="S249" s="22"/>
      <c r="T249" s="22"/>
      <c r="U249" s="13"/>
      <c r="V249" s="13"/>
      <c r="W249" s="23"/>
      <c r="X249" s="13"/>
      <c r="Y249" s="13"/>
      <c r="Z249" s="13"/>
      <c r="AA249" s="13"/>
      <c r="AB249" s="13"/>
      <c r="AC249" s="13"/>
      <c r="AD249" s="13"/>
      <c r="AE249" s="13"/>
    </row>
    <row r="250" spans="1:31" ht="20.2" customHeight="1" x14ac:dyDescent="0.3">
      <c r="A250" s="14"/>
      <c r="B250" s="41"/>
      <c r="C250" s="31"/>
      <c r="D250" s="31"/>
      <c r="E250" s="31"/>
      <c r="F250" s="32"/>
      <c r="G250" s="42"/>
      <c r="H250" s="18" t="str">
        <f>IFERROR(VLOOKUP(G250,List2!$B$2:$C$100,2,FALSE), "Kerkali xodim topilmadi")</f>
        <v>Kerkali xodim topilmadi</v>
      </c>
      <c r="I250" s="7" t="str">
        <f>IFERROR(VLOOKUP(G250,List2!$B$2:$D$100,3,FALSE), "Kerkali BO'LIM topilmadi")</f>
        <v>Kerkali BO'LIM topilmadi</v>
      </c>
      <c r="J250" s="31"/>
      <c r="K250" s="43"/>
      <c r="L250" s="31"/>
      <c r="M250" s="31"/>
      <c r="N250" s="31"/>
      <c r="O250" s="31"/>
      <c r="P250" s="44"/>
      <c r="Q250" s="31"/>
      <c r="R250" s="45"/>
      <c r="S250" s="22"/>
      <c r="T250" s="22"/>
      <c r="U250" s="13"/>
      <c r="V250" s="13"/>
      <c r="W250" s="23"/>
      <c r="X250" s="13"/>
      <c r="Y250" s="13"/>
      <c r="Z250" s="13"/>
      <c r="AA250" s="13"/>
      <c r="AB250" s="13"/>
      <c r="AC250" s="13"/>
      <c r="AD250" s="13"/>
      <c r="AE250" s="13"/>
    </row>
    <row r="251" spans="1:31" ht="20.2" customHeight="1" x14ac:dyDescent="0.3">
      <c r="A251" s="14"/>
      <c r="B251" s="41"/>
      <c r="C251" s="31"/>
      <c r="D251" s="31"/>
      <c r="E251" s="31"/>
      <c r="F251" s="32"/>
      <c r="G251" s="42"/>
      <c r="H251" s="18" t="str">
        <f>IFERROR(VLOOKUP(G251,List2!$B$2:$C$100,2,FALSE), "Kerkali xodim topilmadi")</f>
        <v>Kerkali xodim topilmadi</v>
      </c>
      <c r="I251" s="7" t="str">
        <f>IFERROR(VLOOKUP(G251,List2!$B$2:$D$100,3,FALSE), "Kerkali BO'LIM topilmadi")</f>
        <v>Kerkali BO'LIM topilmadi</v>
      </c>
      <c r="J251" s="31"/>
      <c r="K251" s="43"/>
      <c r="L251" s="31"/>
      <c r="M251" s="31"/>
      <c r="N251" s="31"/>
      <c r="O251" s="31"/>
      <c r="P251" s="44"/>
      <c r="Q251" s="31"/>
      <c r="R251" s="45"/>
      <c r="S251" s="22"/>
      <c r="T251" s="22"/>
      <c r="U251" s="13"/>
      <c r="V251" s="13"/>
      <c r="W251" s="23"/>
      <c r="X251" s="13"/>
      <c r="Y251" s="13"/>
      <c r="Z251" s="13"/>
      <c r="AA251" s="13"/>
      <c r="AB251" s="13"/>
      <c r="AC251" s="13"/>
      <c r="AD251" s="13"/>
      <c r="AE251" s="13"/>
    </row>
    <row r="252" spans="1:31" ht="20.2" customHeight="1" x14ac:dyDescent="0.3">
      <c r="A252" s="14"/>
      <c r="B252" s="41"/>
      <c r="C252" s="31"/>
      <c r="D252" s="31"/>
      <c r="E252" s="31"/>
      <c r="F252" s="32"/>
      <c r="G252" s="42"/>
      <c r="H252" s="18" t="str">
        <f>IFERROR(VLOOKUP(G252,List2!$B$2:$C$100,2,FALSE), "Kerkali xodim topilmadi")</f>
        <v>Kerkali xodim topilmadi</v>
      </c>
      <c r="I252" s="7" t="str">
        <f>IFERROR(VLOOKUP(G252,List2!$B$2:$D$100,3,FALSE), "Kerkali BO'LIM topilmadi")</f>
        <v>Kerkali BO'LIM topilmadi</v>
      </c>
      <c r="J252" s="31"/>
      <c r="K252" s="43"/>
      <c r="L252" s="31"/>
      <c r="M252" s="31"/>
      <c r="N252" s="31"/>
      <c r="O252" s="31"/>
      <c r="P252" s="44"/>
      <c r="Q252" s="31"/>
      <c r="R252" s="45"/>
      <c r="S252" s="22"/>
      <c r="T252" s="22"/>
      <c r="U252" s="13"/>
      <c r="V252" s="13"/>
      <c r="W252" s="23"/>
      <c r="X252" s="13"/>
      <c r="Y252" s="13"/>
      <c r="Z252" s="13"/>
      <c r="AA252" s="13"/>
      <c r="AB252" s="13"/>
      <c r="AC252" s="13"/>
      <c r="AD252" s="13"/>
      <c r="AE252" s="13"/>
    </row>
    <row r="253" spans="1:31" ht="20.2" customHeight="1" x14ac:dyDescent="0.3">
      <c r="A253" s="14"/>
      <c r="B253" s="41"/>
      <c r="C253" s="31"/>
      <c r="D253" s="31"/>
      <c r="E253" s="31"/>
      <c r="F253" s="32"/>
      <c r="G253" s="42"/>
      <c r="H253" s="18" t="str">
        <f>IFERROR(VLOOKUP(G253,List2!$B$2:$C$100,2,FALSE), "Kerkali xodim topilmadi")</f>
        <v>Kerkali xodim topilmadi</v>
      </c>
      <c r="I253" s="7" t="str">
        <f>IFERROR(VLOOKUP(G253,List2!$B$2:$D$100,3,FALSE), "Kerkali BO'LIM topilmadi")</f>
        <v>Kerkali BO'LIM topilmadi</v>
      </c>
      <c r="J253" s="31"/>
      <c r="K253" s="43"/>
      <c r="L253" s="31"/>
      <c r="M253" s="31"/>
      <c r="N253" s="31"/>
      <c r="O253" s="31"/>
      <c r="P253" s="44"/>
      <c r="Q253" s="31"/>
      <c r="R253" s="45"/>
      <c r="S253" s="22"/>
      <c r="T253" s="22"/>
      <c r="U253" s="13"/>
      <c r="V253" s="13"/>
      <c r="W253" s="23"/>
      <c r="X253" s="13"/>
      <c r="Y253" s="13"/>
      <c r="Z253" s="13"/>
      <c r="AA253" s="13"/>
      <c r="AB253" s="13"/>
      <c r="AC253" s="13"/>
      <c r="AD253" s="13"/>
      <c r="AE253" s="13"/>
    </row>
    <row r="254" spans="1:31" ht="20.2" customHeight="1" x14ac:dyDescent="0.3">
      <c r="A254" s="14"/>
      <c r="B254" s="41"/>
      <c r="C254" s="31"/>
      <c r="D254" s="31"/>
      <c r="E254" s="31"/>
      <c r="F254" s="32"/>
      <c r="G254" s="42"/>
      <c r="H254" s="18" t="str">
        <f>IFERROR(VLOOKUP(G254,List2!$B$2:$C$100,2,FALSE), "Kerkali xodim topilmadi")</f>
        <v>Kerkali xodim topilmadi</v>
      </c>
      <c r="I254" s="7" t="str">
        <f>IFERROR(VLOOKUP(G254,List2!$B$2:$D$100,3,FALSE), "Kerkali BO'LIM topilmadi")</f>
        <v>Kerkali BO'LIM topilmadi</v>
      </c>
      <c r="J254" s="31"/>
      <c r="K254" s="43"/>
      <c r="L254" s="31"/>
      <c r="M254" s="31"/>
      <c r="N254" s="31"/>
      <c r="O254" s="31"/>
      <c r="P254" s="44"/>
      <c r="Q254" s="31"/>
      <c r="R254" s="45"/>
      <c r="S254" s="22"/>
      <c r="T254" s="22"/>
      <c r="U254" s="13"/>
      <c r="V254" s="13"/>
      <c r="W254" s="23"/>
      <c r="X254" s="13"/>
      <c r="Y254" s="13"/>
      <c r="Z254" s="13"/>
      <c r="AA254" s="13"/>
      <c r="AB254" s="13"/>
      <c r="AC254" s="13"/>
      <c r="AD254" s="13"/>
      <c r="AE254" s="13"/>
    </row>
    <row r="255" spans="1:31" ht="20.2" customHeight="1" x14ac:dyDescent="0.3">
      <c r="A255" s="14"/>
      <c r="B255" s="41"/>
      <c r="C255" s="31"/>
      <c r="D255" s="31"/>
      <c r="E255" s="31"/>
      <c r="F255" s="32"/>
      <c r="G255" s="42"/>
      <c r="H255" s="18" t="str">
        <f>IFERROR(VLOOKUP(G255,List2!$B$2:$C$100,2,FALSE), "Kerkali xodim topilmadi")</f>
        <v>Kerkali xodim topilmadi</v>
      </c>
      <c r="I255" s="7" t="str">
        <f>IFERROR(VLOOKUP(G255,List2!$B$2:$D$100,3,FALSE), "Kerkali BO'LIM topilmadi")</f>
        <v>Kerkali BO'LIM topilmadi</v>
      </c>
      <c r="J255" s="31"/>
      <c r="K255" s="43"/>
      <c r="L255" s="31"/>
      <c r="M255" s="31"/>
      <c r="N255" s="31"/>
      <c r="O255" s="31"/>
      <c r="P255" s="44"/>
      <c r="Q255" s="31"/>
      <c r="R255" s="45"/>
      <c r="S255" s="22"/>
      <c r="T255" s="22"/>
      <c r="U255" s="13"/>
      <c r="V255" s="13"/>
      <c r="W255" s="23"/>
      <c r="X255" s="13"/>
      <c r="Y255" s="13"/>
      <c r="Z255" s="13"/>
      <c r="AA255" s="13"/>
      <c r="AB255" s="13"/>
      <c r="AC255" s="13"/>
      <c r="AD255" s="13"/>
      <c r="AE255" s="13"/>
    </row>
    <row r="256" spans="1:31" ht="20.2" customHeight="1" x14ac:dyDescent="0.3">
      <c r="A256" s="14"/>
      <c r="B256" s="41"/>
      <c r="C256" s="31"/>
      <c r="D256" s="31"/>
      <c r="E256" s="31"/>
      <c r="F256" s="32"/>
      <c r="G256" s="42"/>
      <c r="H256" s="18" t="str">
        <f>IFERROR(VLOOKUP(G256,List2!$B$2:$C$100,2,FALSE), "Kerkali xodim topilmadi")</f>
        <v>Kerkali xodim topilmadi</v>
      </c>
      <c r="I256" s="7" t="str">
        <f>IFERROR(VLOOKUP(G256,List2!$B$2:$D$100,3,FALSE), "Kerkali BO'LIM topilmadi")</f>
        <v>Kerkali BO'LIM topilmadi</v>
      </c>
      <c r="J256" s="31"/>
      <c r="K256" s="43"/>
      <c r="L256" s="31"/>
      <c r="M256" s="31"/>
      <c r="N256" s="31"/>
      <c r="O256" s="31"/>
      <c r="P256" s="44"/>
      <c r="Q256" s="31"/>
      <c r="R256" s="45"/>
      <c r="S256" s="22"/>
      <c r="T256" s="22"/>
      <c r="U256" s="13"/>
      <c r="V256" s="13"/>
      <c r="W256" s="23"/>
      <c r="X256" s="13"/>
      <c r="Y256" s="13"/>
      <c r="Z256" s="13"/>
      <c r="AA256" s="13"/>
      <c r="AB256" s="13"/>
      <c r="AC256" s="13"/>
      <c r="AD256" s="13"/>
      <c r="AE256" s="13"/>
    </row>
    <row r="257" spans="1:31" ht="20.2" customHeight="1" x14ac:dyDescent="0.3">
      <c r="A257" s="14"/>
      <c r="B257" s="41"/>
      <c r="C257" s="31"/>
      <c r="D257" s="31"/>
      <c r="E257" s="31"/>
      <c r="F257" s="32"/>
      <c r="G257" s="42"/>
      <c r="H257" s="18" t="str">
        <f>IFERROR(VLOOKUP(G257,List2!$B$2:$C$100,2,FALSE), "Kerkali xodim topilmadi")</f>
        <v>Kerkali xodim topilmadi</v>
      </c>
      <c r="I257" s="7" t="str">
        <f>IFERROR(VLOOKUP(G257,List2!$B$2:$D$100,3,FALSE), "Kerkali BO'LIM topilmadi")</f>
        <v>Kerkali BO'LIM topilmadi</v>
      </c>
      <c r="J257" s="31"/>
      <c r="K257" s="43"/>
      <c r="L257" s="31"/>
      <c r="M257" s="31"/>
      <c r="N257" s="31"/>
      <c r="O257" s="31"/>
      <c r="P257" s="44"/>
      <c r="Q257" s="31"/>
      <c r="R257" s="45"/>
      <c r="S257" s="22"/>
      <c r="T257" s="22"/>
      <c r="U257" s="13"/>
      <c r="V257" s="13"/>
      <c r="W257" s="23"/>
      <c r="X257" s="13"/>
      <c r="Y257" s="13"/>
      <c r="Z257" s="13"/>
      <c r="AA257" s="13"/>
      <c r="AB257" s="13"/>
      <c r="AC257" s="13"/>
      <c r="AD257" s="13"/>
      <c r="AE257" s="13"/>
    </row>
    <row r="258" spans="1:31" ht="20.2" customHeight="1" x14ac:dyDescent="0.3">
      <c r="A258" s="14"/>
      <c r="B258" s="41"/>
      <c r="C258" s="31"/>
      <c r="D258" s="31"/>
      <c r="E258" s="31"/>
      <c r="F258" s="32"/>
      <c r="G258" s="42"/>
      <c r="H258" s="18" t="str">
        <f>IFERROR(VLOOKUP(G258,List2!$B$2:$C$100,2,FALSE), "Kerkali xodim topilmadi")</f>
        <v>Kerkali xodim topilmadi</v>
      </c>
      <c r="I258" s="7" t="str">
        <f>IFERROR(VLOOKUP(G258,List2!$B$2:$D$100,3,FALSE), "Kerkali BO'LIM topilmadi")</f>
        <v>Kerkali BO'LIM topilmadi</v>
      </c>
      <c r="J258" s="31"/>
      <c r="K258" s="43"/>
      <c r="L258" s="31"/>
      <c r="M258" s="31"/>
      <c r="N258" s="31"/>
      <c r="O258" s="31"/>
      <c r="P258" s="44"/>
      <c r="Q258" s="31"/>
      <c r="R258" s="45"/>
      <c r="S258" s="22"/>
      <c r="T258" s="22"/>
      <c r="U258" s="13"/>
      <c r="V258" s="13"/>
      <c r="W258" s="23"/>
      <c r="X258" s="13"/>
      <c r="Y258" s="13"/>
      <c r="Z258" s="13"/>
      <c r="AA258" s="13"/>
      <c r="AB258" s="13"/>
      <c r="AC258" s="13"/>
      <c r="AD258" s="13"/>
      <c r="AE258" s="13"/>
    </row>
    <row r="259" spans="1:31" ht="20.2" customHeight="1" x14ac:dyDescent="0.3">
      <c r="A259" s="14"/>
      <c r="B259" s="41"/>
      <c r="C259" s="31"/>
      <c r="D259" s="31"/>
      <c r="E259" s="31"/>
      <c r="F259" s="32"/>
      <c r="G259" s="42"/>
      <c r="H259" s="18" t="str">
        <f>IFERROR(VLOOKUP(G259,List2!$B$2:$C$100,2,FALSE), "Kerkali xodim topilmadi")</f>
        <v>Kerkali xodim topilmadi</v>
      </c>
      <c r="I259" s="7" t="str">
        <f>IFERROR(VLOOKUP(G259,List2!$B$2:$D$100,3,FALSE), "Kerkali BO'LIM topilmadi")</f>
        <v>Kerkali BO'LIM topilmadi</v>
      </c>
      <c r="J259" s="31"/>
      <c r="K259" s="43"/>
      <c r="L259" s="31"/>
      <c r="M259" s="31"/>
      <c r="N259" s="31"/>
      <c r="O259" s="31"/>
      <c r="P259" s="44"/>
      <c r="Q259" s="31"/>
      <c r="R259" s="45"/>
      <c r="S259" s="22"/>
      <c r="T259" s="22"/>
      <c r="U259" s="13"/>
      <c r="V259" s="13"/>
      <c r="W259" s="23"/>
      <c r="X259" s="13"/>
      <c r="Y259" s="13"/>
      <c r="Z259" s="13"/>
      <c r="AA259" s="13"/>
      <c r="AB259" s="13"/>
      <c r="AC259" s="13"/>
      <c r="AD259" s="13"/>
      <c r="AE259" s="13"/>
    </row>
    <row r="260" spans="1:31" ht="20.2" customHeight="1" x14ac:dyDescent="0.3">
      <c r="A260" s="14"/>
      <c r="B260" s="41"/>
      <c r="C260" s="31"/>
      <c r="D260" s="31"/>
      <c r="E260" s="31"/>
      <c r="F260" s="32"/>
      <c r="G260" s="42"/>
      <c r="H260" s="18" t="str">
        <f>IFERROR(VLOOKUP(G260,List2!$B$2:$C$100,2,FALSE), "Kerkali xodim topilmadi")</f>
        <v>Kerkali xodim topilmadi</v>
      </c>
      <c r="I260" s="7" t="str">
        <f>IFERROR(VLOOKUP(G260,List2!$B$2:$D$100,3,FALSE), "Kerkali BO'LIM topilmadi")</f>
        <v>Kerkali BO'LIM topilmadi</v>
      </c>
      <c r="J260" s="31"/>
      <c r="K260" s="43"/>
      <c r="L260" s="31"/>
      <c r="M260" s="31"/>
      <c r="N260" s="31"/>
      <c r="O260" s="31"/>
      <c r="P260" s="44"/>
      <c r="Q260" s="31"/>
      <c r="R260" s="45"/>
      <c r="S260" s="22"/>
      <c r="T260" s="22"/>
      <c r="U260" s="13"/>
      <c r="V260" s="13"/>
      <c r="W260" s="23"/>
      <c r="X260" s="13"/>
      <c r="Y260" s="13"/>
      <c r="Z260" s="13"/>
      <c r="AA260" s="13"/>
      <c r="AB260" s="13"/>
      <c r="AC260" s="13"/>
      <c r="AD260" s="13"/>
      <c r="AE260" s="13"/>
    </row>
    <row r="261" spans="1:31" ht="20.2" customHeight="1" x14ac:dyDescent="0.3">
      <c r="A261" s="14"/>
      <c r="B261" s="41"/>
      <c r="C261" s="31"/>
      <c r="D261" s="31"/>
      <c r="E261" s="31"/>
      <c r="F261" s="32"/>
      <c r="G261" s="42"/>
      <c r="H261" s="18" t="str">
        <f>IFERROR(VLOOKUP(G261,List2!$B$2:$C$100,2,FALSE), "Kerkali xodim topilmadi")</f>
        <v>Kerkali xodim topilmadi</v>
      </c>
      <c r="I261" s="7" t="str">
        <f>IFERROR(VLOOKUP(G261,List2!$B$2:$D$100,3,FALSE), "Kerkali BO'LIM topilmadi")</f>
        <v>Kerkali BO'LIM topilmadi</v>
      </c>
      <c r="J261" s="31"/>
      <c r="K261" s="43"/>
      <c r="L261" s="31"/>
      <c r="M261" s="31"/>
      <c r="N261" s="31"/>
      <c r="O261" s="31"/>
      <c r="P261" s="44"/>
      <c r="Q261" s="31"/>
      <c r="R261" s="45"/>
      <c r="S261" s="22"/>
      <c r="T261" s="22"/>
      <c r="U261" s="13"/>
      <c r="V261" s="13"/>
      <c r="W261" s="23"/>
      <c r="X261" s="13"/>
      <c r="Y261" s="13"/>
      <c r="Z261" s="13"/>
      <c r="AA261" s="13"/>
      <c r="AB261" s="13"/>
      <c r="AC261" s="13"/>
      <c r="AD261" s="13"/>
      <c r="AE261" s="13"/>
    </row>
    <row r="262" spans="1:31" ht="20.2" customHeight="1" x14ac:dyDescent="0.3">
      <c r="A262" s="14"/>
      <c r="B262" s="41"/>
      <c r="C262" s="31"/>
      <c r="D262" s="31"/>
      <c r="E262" s="31"/>
      <c r="F262" s="32"/>
      <c r="G262" s="42"/>
      <c r="H262" s="18" t="str">
        <f>IFERROR(VLOOKUP(G262,List2!$B$2:$C$100,2,FALSE), "Kerkali xodim topilmadi")</f>
        <v>Kerkali xodim topilmadi</v>
      </c>
      <c r="I262" s="7" t="str">
        <f>IFERROR(VLOOKUP(G262,List2!$B$2:$D$100,3,FALSE), "Kerkali BO'LIM topilmadi")</f>
        <v>Kerkali BO'LIM topilmadi</v>
      </c>
      <c r="J262" s="31"/>
      <c r="K262" s="43"/>
      <c r="L262" s="31"/>
      <c r="M262" s="31"/>
      <c r="N262" s="31"/>
      <c r="O262" s="31"/>
      <c r="P262" s="44"/>
      <c r="Q262" s="31"/>
      <c r="R262" s="45"/>
      <c r="S262" s="22"/>
      <c r="T262" s="22"/>
      <c r="U262" s="13"/>
      <c r="V262" s="13"/>
      <c r="W262" s="23"/>
      <c r="X262" s="13"/>
      <c r="Y262" s="13"/>
      <c r="Z262" s="13"/>
      <c r="AA262" s="13"/>
      <c r="AB262" s="13"/>
      <c r="AC262" s="13"/>
      <c r="AD262" s="13"/>
      <c r="AE262" s="13"/>
    </row>
    <row r="263" spans="1:31" ht="20.2" customHeight="1" x14ac:dyDescent="0.3">
      <c r="A263" s="14"/>
      <c r="B263" s="41"/>
      <c r="C263" s="31"/>
      <c r="D263" s="31"/>
      <c r="E263" s="31"/>
      <c r="F263" s="32"/>
      <c r="G263" s="42"/>
      <c r="H263" s="18" t="str">
        <f>IFERROR(VLOOKUP(G263,List2!$B$2:$C$100,2,FALSE), "Kerkali xodim topilmadi")</f>
        <v>Kerkali xodim topilmadi</v>
      </c>
      <c r="I263" s="7" t="str">
        <f>IFERROR(VLOOKUP(G263,List2!$B$2:$D$100,3,FALSE), "Kerkali BO'LIM topilmadi")</f>
        <v>Kerkali BO'LIM topilmadi</v>
      </c>
      <c r="J263" s="31"/>
      <c r="K263" s="43"/>
      <c r="L263" s="31"/>
      <c r="M263" s="31"/>
      <c r="N263" s="31"/>
      <c r="O263" s="31"/>
      <c r="P263" s="44"/>
      <c r="Q263" s="31"/>
      <c r="R263" s="45"/>
      <c r="S263" s="22"/>
      <c r="T263" s="22"/>
      <c r="U263" s="13"/>
      <c r="V263" s="13"/>
      <c r="W263" s="23"/>
      <c r="X263" s="13"/>
      <c r="Y263" s="13"/>
      <c r="Z263" s="13"/>
      <c r="AA263" s="13"/>
      <c r="AB263" s="13"/>
      <c r="AC263" s="13"/>
      <c r="AD263" s="13"/>
      <c r="AE263" s="13"/>
    </row>
    <row r="264" spans="1:31" ht="20.2" customHeight="1" x14ac:dyDescent="0.3">
      <c r="A264" s="14"/>
      <c r="B264" s="41"/>
      <c r="C264" s="31"/>
      <c r="D264" s="31"/>
      <c r="E264" s="31"/>
      <c r="F264" s="32"/>
      <c r="G264" s="42"/>
      <c r="H264" s="18" t="str">
        <f>IFERROR(VLOOKUP(G264,List2!$B$2:$C$100,2,FALSE), "Kerkali xodim topilmadi")</f>
        <v>Kerkali xodim topilmadi</v>
      </c>
      <c r="I264" s="7" t="str">
        <f>IFERROR(VLOOKUP(G264,List2!$B$2:$D$100,3,FALSE), "Kerkali BO'LIM topilmadi")</f>
        <v>Kerkali BO'LIM topilmadi</v>
      </c>
      <c r="J264" s="31"/>
      <c r="K264" s="43"/>
      <c r="L264" s="31"/>
      <c r="M264" s="31"/>
      <c r="N264" s="31"/>
      <c r="O264" s="31"/>
      <c r="P264" s="44"/>
      <c r="Q264" s="31"/>
      <c r="R264" s="45"/>
      <c r="S264" s="22"/>
      <c r="T264" s="22"/>
      <c r="U264" s="13"/>
      <c r="V264" s="13"/>
      <c r="W264" s="23"/>
      <c r="X264" s="13"/>
      <c r="Y264" s="13"/>
      <c r="Z264" s="13"/>
      <c r="AA264" s="13"/>
      <c r="AB264" s="13"/>
      <c r="AC264" s="13"/>
      <c r="AD264" s="13"/>
      <c r="AE264" s="13"/>
    </row>
    <row r="265" spans="1:31" ht="20.2" customHeight="1" x14ac:dyDescent="0.3">
      <c r="A265" s="14"/>
      <c r="B265" s="41"/>
      <c r="C265" s="31"/>
      <c r="D265" s="31"/>
      <c r="E265" s="31"/>
      <c r="F265" s="32"/>
      <c r="G265" s="42"/>
      <c r="H265" s="18" t="str">
        <f>IFERROR(VLOOKUP(G265,List2!$B$2:$C$100,2,FALSE), "Kerkali xodim topilmadi")</f>
        <v>Kerkali xodim topilmadi</v>
      </c>
      <c r="I265" s="7" t="str">
        <f>IFERROR(VLOOKUP(G265,List2!$B$2:$D$100,3,FALSE), "Kerkali BO'LIM topilmadi")</f>
        <v>Kerkali BO'LIM topilmadi</v>
      </c>
      <c r="J265" s="31"/>
      <c r="K265" s="43"/>
      <c r="L265" s="31"/>
      <c r="M265" s="31"/>
      <c r="N265" s="31"/>
      <c r="O265" s="31"/>
      <c r="P265" s="44"/>
      <c r="Q265" s="31"/>
      <c r="R265" s="45"/>
      <c r="S265" s="22"/>
      <c r="T265" s="22"/>
      <c r="U265" s="13"/>
      <c r="V265" s="13"/>
      <c r="W265" s="23"/>
      <c r="X265" s="13"/>
      <c r="Y265" s="13"/>
      <c r="Z265" s="13"/>
      <c r="AA265" s="13"/>
      <c r="AB265" s="13"/>
      <c r="AC265" s="13"/>
      <c r="AD265" s="13"/>
      <c r="AE265" s="13"/>
    </row>
    <row r="266" spans="1:31" ht="20.2" customHeight="1" x14ac:dyDescent="0.3">
      <c r="A266" s="14"/>
      <c r="B266" s="41"/>
      <c r="C266" s="31"/>
      <c r="D266" s="31"/>
      <c r="E266" s="31"/>
      <c r="F266" s="32"/>
      <c r="G266" s="42"/>
      <c r="H266" s="18" t="str">
        <f>IFERROR(VLOOKUP(G266,List2!$B$2:$C$100,2,FALSE), "Kerkali xodim topilmadi")</f>
        <v>Kerkali xodim topilmadi</v>
      </c>
      <c r="I266" s="7" t="str">
        <f>IFERROR(VLOOKUP(G266,List2!$B$2:$D$100,3,FALSE), "Kerkali BO'LIM topilmadi")</f>
        <v>Kerkali BO'LIM topilmadi</v>
      </c>
      <c r="J266" s="31"/>
      <c r="K266" s="43"/>
      <c r="L266" s="31"/>
      <c r="M266" s="31"/>
      <c r="N266" s="31"/>
      <c r="O266" s="31"/>
      <c r="P266" s="44"/>
      <c r="Q266" s="31"/>
      <c r="R266" s="45"/>
      <c r="S266" s="22"/>
      <c r="T266" s="22"/>
      <c r="U266" s="13"/>
      <c r="V266" s="13"/>
      <c r="W266" s="23"/>
      <c r="X266" s="13"/>
      <c r="Y266" s="13"/>
      <c r="Z266" s="13"/>
      <c r="AA266" s="13"/>
      <c r="AB266" s="13"/>
      <c r="AC266" s="13"/>
      <c r="AD266" s="13"/>
      <c r="AE266" s="13"/>
    </row>
    <row r="267" spans="1:31" ht="20.2" customHeight="1" x14ac:dyDescent="0.3">
      <c r="A267" s="14"/>
      <c r="B267" s="41"/>
      <c r="C267" s="31"/>
      <c r="D267" s="31"/>
      <c r="E267" s="31"/>
      <c r="F267" s="32"/>
      <c r="G267" s="42"/>
      <c r="H267" s="18" t="str">
        <f>IFERROR(VLOOKUP(G267,List2!$B$2:$C$100,2,FALSE), "Kerkali xodim topilmadi")</f>
        <v>Kerkali xodim topilmadi</v>
      </c>
      <c r="I267" s="7" t="str">
        <f>IFERROR(VLOOKUP(G267,List2!$B$2:$D$100,3,FALSE), "Kerkali BO'LIM topilmadi")</f>
        <v>Kerkali BO'LIM topilmadi</v>
      </c>
      <c r="J267" s="31"/>
      <c r="K267" s="43"/>
      <c r="L267" s="31"/>
      <c r="M267" s="31"/>
      <c r="N267" s="31"/>
      <c r="O267" s="31"/>
      <c r="P267" s="44"/>
      <c r="Q267" s="31"/>
      <c r="R267" s="45"/>
      <c r="S267" s="22"/>
      <c r="T267" s="22"/>
      <c r="U267" s="13"/>
      <c r="V267" s="13"/>
      <c r="W267" s="23"/>
      <c r="X267" s="13"/>
      <c r="Y267" s="13"/>
      <c r="Z267" s="13"/>
      <c r="AA267" s="13"/>
      <c r="AB267" s="13"/>
      <c r="AC267" s="13"/>
      <c r="AD267" s="13"/>
      <c r="AE267" s="13"/>
    </row>
    <row r="268" spans="1:31" ht="20.2" customHeight="1" x14ac:dyDescent="0.3">
      <c r="A268" s="14"/>
      <c r="B268" s="41"/>
      <c r="C268" s="31"/>
      <c r="D268" s="31"/>
      <c r="E268" s="31"/>
      <c r="F268" s="32"/>
      <c r="G268" s="42"/>
      <c r="H268" s="18" t="str">
        <f>IFERROR(VLOOKUP(G268,List2!$B$2:$C$100,2,FALSE), "Kerkali xodim topilmadi")</f>
        <v>Kerkali xodim topilmadi</v>
      </c>
      <c r="I268" s="7" t="str">
        <f>IFERROR(VLOOKUP(G268,List2!$B$2:$D$100,3,FALSE), "Kerkali BO'LIM topilmadi")</f>
        <v>Kerkali BO'LIM topilmadi</v>
      </c>
      <c r="J268" s="31"/>
      <c r="K268" s="43"/>
      <c r="L268" s="31"/>
      <c r="M268" s="31"/>
      <c r="N268" s="31"/>
      <c r="O268" s="31"/>
      <c r="P268" s="44"/>
      <c r="Q268" s="31"/>
      <c r="R268" s="45"/>
      <c r="S268" s="22"/>
      <c r="T268" s="22"/>
      <c r="U268" s="13"/>
      <c r="V268" s="13"/>
      <c r="W268" s="23"/>
      <c r="X268" s="13"/>
      <c r="Y268" s="13"/>
      <c r="Z268" s="13"/>
      <c r="AA268" s="13"/>
      <c r="AB268" s="13"/>
      <c r="AC268" s="13"/>
      <c r="AD268" s="13"/>
      <c r="AE268" s="13"/>
    </row>
    <row r="269" spans="1:31" ht="20.2" customHeight="1" x14ac:dyDescent="0.3">
      <c r="A269" s="14"/>
      <c r="B269" s="41"/>
      <c r="C269" s="31"/>
      <c r="D269" s="31"/>
      <c r="E269" s="31"/>
      <c r="F269" s="32"/>
      <c r="G269" s="42"/>
      <c r="H269" s="18" t="str">
        <f>IFERROR(VLOOKUP(G269,List2!$B$2:$C$100,2,FALSE), "Kerkali xodim topilmadi")</f>
        <v>Kerkali xodim topilmadi</v>
      </c>
      <c r="I269" s="7" t="str">
        <f>IFERROR(VLOOKUP(G269,List2!$B$2:$D$100,3,FALSE), "Kerkali BO'LIM topilmadi")</f>
        <v>Kerkali BO'LIM topilmadi</v>
      </c>
      <c r="J269" s="31"/>
      <c r="K269" s="43"/>
      <c r="L269" s="31"/>
      <c r="M269" s="31"/>
      <c r="N269" s="31"/>
      <c r="O269" s="31"/>
      <c r="P269" s="44"/>
      <c r="Q269" s="31"/>
      <c r="R269" s="45"/>
      <c r="S269" s="22"/>
      <c r="T269" s="22"/>
      <c r="U269" s="13"/>
      <c r="V269" s="13"/>
      <c r="W269" s="23"/>
      <c r="X269" s="13"/>
      <c r="Y269" s="13"/>
      <c r="Z269" s="13"/>
      <c r="AA269" s="13"/>
      <c r="AB269" s="13"/>
      <c r="AC269" s="13"/>
      <c r="AD269" s="13"/>
      <c r="AE269" s="13"/>
    </row>
    <row r="270" spans="1:31" ht="20.2" customHeight="1" x14ac:dyDescent="0.3">
      <c r="A270" s="14"/>
      <c r="B270" s="41"/>
      <c r="C270" s="31"/>
      <c r="D270" s="31"/>
      <c r="E270" s="31"/>
      <c r="F270" s="32"/>
      <c r="G270" s="42"/>
      <c r="H270" s="18" t="str">
        <f>IFERROR(VLOOKUP(G270,List2!$B$2:$C$100,2,FALSE), "Kerkali xodim topilmadi")</f>
        <v>Kerkali xodim topilmadi</v>
      </c>
      <c r="I270" s="7" t="str">
        <f>IFERROR(VLOOKUP(G270,List2!$B$2:$D$100,3,FALSE), "Kerkali BO'LIM topilmadi")</f>
        <v>Kerkali BO'LIM topilmadi</v>
      </c>
      <c r="J270" s="31"/>
      <c r="K270" s="43"/>
      <c r="L270" s="31"/>
      <c r="M270" s="31"/>
      <c r="N270" s="31"/>
      <c r="O270" s="31"/>
      <c r="P270" s="44"/>
      <c r="Q270" s="31"/>
      <c r="R270" s="45"/>
      <c r="S270" s="22"/>
      <c r="T270" s="22"/>
      <c r="U270" s="13"/>
      <c r="V270" s="13"/>
      <c r="W270" s="23"/>
      <c r="X270" s="13"/>
      <c r="Y270" s="13"/>
      <c r="Z270" s="13"/>
      <c r="AA270" s="13"/>
      <c r="AB270" s="13"/>
      <c r="AC270" s="13"/>
      <c r="AD270" s="13"/>
      <c r="AE270" s="13"/>
    </row>
    <row r="271" spans="1:31" ht="20.2" customHeight="1" x14ac:dyDescent="0.3">
      <c r="A271" s="14"/>
      <c r="B271" s="41"/>
      <c r="C271" s="31"/>
      <c r="D271" s="31"/>
      <c r="E271" s="31"/>
      <c r="F271" s="32"/>
      <c r="G271" s="42"/>
      <c r="H271" s="18" t="str">
        <f>IFERROR(VLOOKUP(G271,List2!$B$2:$C$100,2,FALSE), "Kerkali xodim topilmadi")</f>
        <v>Kerkali xodim topilmadi</v>
      </c>
      <c r="I271" s="7" t="str">
        <f>IFERROR(VLOOKUP(G271,List2!$B$2:$D$100,3,FALSE), "Kerkali BO'LIM topilmadi")</f>
        <v>Kerkali BO'LIM topilmadi</v>
      </c>
      <c r="J271" s="31"/>
      <c r="K271" s="43"/>
      <c r="L271" s="31"/>
      <c r="M271" s="31"/>
      <c r="N271" s="31"/>
      <c r="O271" s="31"/>
      <c r="P271" s="44"/>
      <c r="Q271" s="31"/>
      <c r="R271" s="45"/>
      <c r="S271" s="22"/>
      <c r="T271" s="22"/>
      <c r="U271" s="13"/>
      <c r="V271" s="13"/>
      <c r="W271" s="23"/>
      <c r="X271" s="13"/>
      <c r="Y271" s="13"/>
      <c r="Z271" s="13"/>
      <c r="AA271" s="13"/>
      <c r="AB271" s="13"/>
      <c r="AC271" s="13"/>
      <c r="AD271" s="13"/>
      <c r="AE271" s="13"/>
    </row>
    <row r="272" spans="1:31" ht="20.2" customHeight="1" x14ac:dyDescent="0.3">
      <c r="A272" s="14"/>
      <c r="B272" s="41"/>
      <c r="C272" s="31"/>
      <c r="D272" s="31"/>
      <c r="E272" s="31"/>
      <c r="F272" s="32"/>
      <c r="G272" s="42"/>
      <c r="H272" s="18" t="str">
        <f>IFERROR(VLOOKUP(G272,List2!$B$2:$C$100,2,FALSE), "Kerkali xodim topilmadi")</f>
        <v>Kerkali xodim topilmadi</v>
      </c>
      <c r="I272" s="7" t="str">
        <f>IFERROR(VLOOKUP(G272,List2!$B$2:$D$100,3,FALSE), "Kerkali BO'LIM topilmadi")</f>
        <v>Kerkali BO'LIM topilmadi</v>
      </c>
      <c r="J272" s="31"/>
      <c r="K272" s="43"/>
      <c r="L272" s="31"/>
      <c r="M272" s="31"/>
      <c r="N272" s="31"/>
      <c r="O272" s="31"/>
      <c r="P272" s="44"/>
      <c r="Q272" s="31"/>
      <c r="R272" s="45"/>
      <c r="S272" s="22"/>
      <c r="T272" s="22"/>
      <c r="U272" s="13"/>
      <c r="V272" s="13"/>
      <c r="W272" s="23"/>
      <c r="X272" s="13"/>
      <c r="Y272" s="13"/>
      <c r="Z272" s="13"/>
      <c r="AA272" s="13"/>
      <c r="AB272" s="13"/>
      <c r="AC272" s="13"/>
      <c r="AD272" s="13"/>
      <c r="AE272" s="13"/>
    </row>
    <row r="273" spans="1:31" ht="20.2" customHeight="1" x14ac:dyDescent="0.3">
      <c r="A273" s="14"/>
      <c r="B273" s="41"/>
      <c r="C273" s="31"/>
      <c r="D273" s="31"/>
      <c r="E273" s="31"/>
      <c r="F273" s="32"/>
      <c r="G273" s="42"/>
      <c r="H273" s="18" t="str">
        <f>IFERROR(VLOOKUP(G273,List2!$B$2:$C$100,2,FALSE), "Kerkali xodim topilmadi")</f>
        <v>Kerkali xodim topilmadi</v>
      </c>
      <c r="I273" s="7" t="str">
        <f>IFERROR(VLOOKUP(G273,List2!$B$2:$D$100,3,FALSE), "Kerkali BO'LIM topilmadi")</f>
        <v>Kerkali BO'LIM topilmadi</v>
      </c>
      <c r="J273" s="31"/>
      <c r="K273" s="43"/>
      <c r="L273" s="31"/>
      <c r="M273" s="31"/>
      <c r="N273" s="31"/>
      <c r="O273" s="31"/>
      <c r="P273" s="44"/>
      <c r="Q273" s="31"/>
      <c r="R273" s="45"/>
      <c r="S273" s="22"/>
      <c r="T273" s="22"/>
      <c r="U273" s="13"/>
      <c r="V273" s="13"/>
      <c r="W273" s="23"/>
      <c r="X273" s="13"/>
      <c r="Y273" s="13"/>
      <c r="Z273" s="13"/>
      <c r="AA273" s="13"/>
      <c r="AB273" s="13"/>
      <c r="AC273" s="13"/>
      <c r="AD273" s="13"/>
      <c r="AE273" s="13"/>
    </row>
    <row r="274" spans="1:31" ht="20.2" customHeight="1" x14ac:dyDescent="0.3">
      <c r="A274" s="14"/>
      <c r="B274" s="41"/>
      <c r="C274" s="31"/>
      <c r="D274" s="31"/>
      <c r="E274" s="31"/>
      <c r="F274" s="32"/>
      <c r="G274" s="42"/>
      <c r="H274" s="18" t="str">
        <f>IFERROR(VLOOKUP(G274,List2!$B$2:$C$100,2,FALSE), "Kerkali xodim topilmadi")</f>
        <v>Kerkali xodim topilmadi</v>
      </c>
      <c r="I274" s="7" t="str">
        <f>IFERROR(VLOOKUP(G274,List2!$B$2:$D$100,3,FALSE), "Kerkali BO'LIM topilmadi")</f>
        <v>Kerkali BO'LIM topilmadi</v>
      </c>
      <c r="J274" s="31"/>
      <c r="K274" s="43"/>
      <c r="L274" s="31"/>
      <c r="M274" s="31"/>
      <c r="N274" s="31"/>
      <c r="O274" s="31"/>
      <c r="P274" s="44"/>
      <c r="Q274" s="31"/>
      <c r="R274" s="45"/>
      <c r="S274" s="22"/>
      <c r="T274" s="22"/>
      <c r="U274" s="13"/>
      <c r="V274" s="13"/>
      <c r="W274" s="23"/>
      <c r="X274" s="13"/>
      <c r="Y274" s="13"/>
      <c r="Z274" s="13"/>
      <c r="AA274" s="13"/>
      <c r="AB274" s="13"/>
      <c r="AC274" s="13"/>
      <c r="AD274" s="13"/>
      <c r="AE274" s="13"/>
    </row>
    <row r="275" spans="1:31" ht="20.2" customHeight="1" x14ac:dyDescent="0.3">
      <c r="A275" s="14"/>
      <c r="B275" s="41"/>
      <c r="C275" s="31"/>
      <c r="D275" s="31"/>
      <c r="E275" s="31"/>
      <c r="F275" s="32"/>
      <c r="G275" s="42"/>
      <c r="H275" s="18" t="str">
        <f>IFERROR(VLOOKUP(G275,List2!$B$2:$C$100,2,FALSE), "Kerkali xodim topilmadi")</f>
        <v>Kerkali xodim topilmadi</v>
      </c>
      <c r="I275" s="7" t="str">
        <f>IFERROR(VLOOKUP(G275,List2!$B$2:$D$100,3,FALSE), "Kerkali BO'LIM topilmadi")</f>
        <v>Kerkali BO'LIM topilmadi</v>
      </c>
      <c r="J275" s="31"/>
      <c r="K275" s="43"/>
      <c r="L275" s="31"/>
      <c r="M275" s="31"/>
      <c r="N275" s="31"/>
      <c r="O275" s="31"/>
      <c r="P275" s="44"/>
      <c r="Q275" s="31"/>
      <c r="R275" s="45"/>
      <c r="S275" s="22"/>
      <c r="T275" s="22"/>
      <c r="U275" s="13"/>
      <c r="V275" s="13"/>
      <c r="W275" s="23"/>
      <c r="X275" s="13"/>
      <c r="Y275" s="13"/>
      <c r="Z275" s="13"/>
      <c r="AA275" s="13"/>
      <c r="AB275" s="13"/>
      <c r="AC275" s="13"/>
      <c r="AD275" s="13"/>
      <c r="AE275" s="13"/>
    </row>
    <row r="276" spans="1:31" ht="20.2" customHeight="1" x14ac:dyDescent="0.3">
      <c r="A276" s="14"/>
      <c r="B276" s="41"/>
      <c r="C276" s="31"/>
      <c r="D276" s="31"/>
      <c r="E276" s="31"/>
      <c r="F276" s="32"/>
      <c r="G276" s="42"/>
      <c r="H276" s="18" t="str">
        <f>IFERROR(VLOOKUP(G276,List2!$B$2:$C$100,2,FALSE), "Kerkali xodim topilmadi")</f>
        <v>Kerkali xodim topilmadi</v>
      </c>
      <c r="I276" s="7" t="str">
        <f>IFERROR(VLOOKUP(G276,List2!$B$2:$D$100,3,FALSE), "Kerkali BO'LIM topilmadi")</f>
        <v>Kerkali BO'LIM topilmadi</v>
      </c>
      <c r="J276" s="31"/>
      <c r="K276" s="43"/>
      <c r="L276" s="31"/>
      <c r="M276" s="31"/>
      <c r="N276" s="31"/>
      <c r="O276" s="31"/>
      <c r="P276" s="44"/>
      <c r="Q276" s="31"/>
      <c r="R276" s="45"/>
      <c r="S276" s="22"/>
      <c r="T276" s="22"/>
      <c r="U276" s="13"/>
      <c r="V276" s="13"/>
      <c r="W276" s="23"/>
      <c r="X276" s="13"/>
      <c r="Y276" s="13"/>
      <c r="Z276" s="13"/>
      <c r="AA276" s="13"/>
      <c r="AB276" s="13"/>
      <c r="AC276" s="13"/>
      <c r="AD276" s="13"/>
      <c r="AE276" s="13"/>
    </row>
    <row r="277" spans="1:31" ht="20.2" customHeight="1" x14ac:dyDescent="0.3">
      <c r="A277" s="14"/>
      <c r="B277" s="41"/>
      <c r="C277" s="31"/>
      <c r="D277" s="31"/>
      <c r="E277" s="31"/>
      <c r="F277" s="32"/>
      <c r="G277" s="42"/>
      <c r="H277" s="18" t="str">
        <f>IFERROR(VLOOKUP(G277,List2!$B$2:$C$100,2,FALSE), "Kerkali xodim topilmadi")</f>
        <v>Kerkali xodim topilmadi</v>
      </c>
      <c r="I277" s="7" t="str">
        <f>IFERROR(VLOOKUP(G277,List2!$B$2:$D$100,3,FALSE), "Kerkali BO'LIM topilmadi")</f>
        <v>Kerkali BO'LIM topilmadi</v>
      </c>
      <c r="J277" s="31"/>
      <c r="K277" s="43"/>
      <c r="L277" s="31"/>
      <c r="M277" s="31"/>
      <c r="N277" s="31"/>
      <c r="O277" s="31"/>
      <c r="P277" s="44"/>
      <c r="Q277" s="31"/>
      <c r="R277" s="45"/>
      <c r="S277" s="22"/>
      <c r="T277" s="22"/>
      <c r="U277" s="13"/>
      <c r="V277" s="13"/>
      <c r="W277" s="23"/>
      <c r="X277" s="13"/>
      <c r="Y277" s="13"/>
      <c r="Z277" s="13"/>
      <c r="AA277" s="13"/>
      <c r="AB277" s="13"/>
      <c r="AC277" s="13"/>
      <c r="AD277" s="13"/>
      <c r="AE277" s="13"/>
    </row>
    <row r="278" spans="1:31" ht="20.2" customHeight="1" x14ac:dyDescent="0.3">
      <c r="A278" s="14"/>
      <c r="B278" s="41"/>
      <c r="C278" s="31"/>
      <c r="D278" s="31"/>
      <c r="E278" s="31"/>
      <c r="F278" s="32"/>
      <c r="G278" s="42"/>
      <c r="H278" s="18" t="str">
        <f>IFERROR(VLOOKUP(G278,List2!$B$2:$C$100,2,FALSE), "Kerkali xodim topilmadi")</f>
        <v>Kerkali xodim topilmadi</v>
      </c>
      <c r="I278" s="7" t="str">
        <f>IFERROR(VLOOKUP(G278,List2!$B$2:$D$100,3,FALSE), "Kerkali BO'LIM topilmadi")</f>
        <v>Kerkali BO'LIM topilmadi</v>
      </c>
      <c r="J278" s="31"/>
      <c r="K278" s="43"/>
      <c r="L278" s="31"/>
      <c r="M278" s="31"/>
      <c r="N278" s="31"/>
      <c r="O278" s="31"/>
      <c r="P278" s="44"/>
      <c r="Q278" s="31"/>
      <c r="R278" s="45"/>
      <c r="S278" s="22"/>
      <c r="T278" s="22"/>
      <c r="U278" s="13"/>
      <c r="V278" s="13"/>
      <c r="W278" s="23"/>
      <c r="X278" s="13"/>
      <c r="Y278" s="13"/>
      <c r="Z278" s="13"/>
      <c r="AA278" s="13"/>
      <c r="AB278" s="13"/>
      <c r="AC278" s="13"/>
      <c r="AD278" s="13"/>
      <c r="AE278" s="13"/>
    </row>
    <row r="279" spans="1:31" ht="20.2" customHeight="1" x14ac:dyDescent="0.3">
      <c r="A279" s="14"/>
      <c r="B279" s="41"/>
      <c r="C279" s="31"/>
      <c r="D279" s="31"/>
      <c r="E279" s="31"/>
      <c r="F279" s="32"/>
      <c r="G279" s="42"/>
      <c r="H279" s="18" t="str">
        <f>IFERROR(VLOOKUP(G279,List2!$B$2:$C$100,2,FALSE), "Kerkali xodim topilmadi")</f>
        <v>Kerkali xodim topilmadi</v>
      </c>
      <c r="I279" s="7" t="str">
        <f>IFERROR(VLOOKUP(G279,List2!$B$2:$D$100,3,FALSE), "Kerkali BO'LIM topilmadi")</f>
        <v>Kerkali BO'LIM topilmadi</v>
      </c>
      <c r="J279" s="31"/>
      <c r="K279" s="43"/>
      <c r="L279" s="31"/>
      <c r="M279" s="31"/>
      <c r="N279" s="31"/>
      <c r="O279" s="31"/>
      <c r="P279" s="44"/>
      <c r="Q279" s="31"/>
      <c r="R279" s="45"/>
      <c r="S279" s="22"/>
      <c r="T279" s="22"/>
      <c r="U279" s="13"/>
      <c r="V279" s="13"/>
      <c r="W279" s="23"/>
      <c r="X279" s="13"/>
      <c r="Y279" s="13"/>
      <c r="Z279" s="13"/>
      <c r="AA279" s="13"/>
      <c r="AB279" s="13"/>
      <c r="AC279" s="13"/>
      <c r="AD279" s="13"/>
      <c r="AE279" s="13"/>
    </row>
    <row r="280" spans="1:31" ht="20.2" customHeight="1" x14ac:dyDescent="0.3">
      <c r="A280" s="14"/>
      <c r="B280" s="41"/>
      <c r="C280" s="31"/>
      <c r="D280" s="31"/>
      <c r="E280" s="31"/>
      <c r="F280" s="32"/>
      <c r="G280" s="42"/>
      <c r="H280" s="18" t="str">
        <f>IFERROR(VLOOKUP(G280,List2!$B$2:$C$100,2,FALSE), "Kerkali xodim topilmadi")</f>
        <v>Kerkali xodim topilmadi</v>
      </c>
      <c r="I280" s="7" t="str">
        <f>IFERROR(VLOOKUP(G280,List2!$B$2:$D$100,3,FALSE), "Kerkali BO'LIM topilmadi")</f>
        <v>Kerkali BO'LIM topilmadi</v>
      </c>
      <c r="J280" s="31"/>
      <c r="K280" s="43"/>
      <c r="L280" s="31"/>
      <c r="M280" s="31"/>
      <c r="N280" s="31"/>
      <c r="O280" s="31"/>
      <c r="P280" s="44"/>
      <c r="Q280" s="31"/>
      <c r="R280" s="45"/>
      <c r="S280" s="22"/>
      <c r="T280" s="22"/>
      <c r="U280" s="13"/>
      <c r="V280" s="13"/>
      <c r="W280" s="23"/>
      <c r="X280" s="13"/>
      <c r="Y280" s="13"/>
      <c r="Z280" s="13"/>
      <c r="AA280" s="13"/>
      <c r="AB280" s="13"/>
      <c r="AC280" s="13"/>
      <c r="AD280" s="13"/>
      <c r="AE280" s="13"/>
    </row>
    <row r="281" spans="1:31" ht="20.2" customHeight="1" x14ac:dyDescent="0.3">
      <c r="A281" s="14"/>
      <c r="B281" s="41"/>
      <c r="C281" s="31"/>
      <c r="D281" s="31"/>
      <c r="E281" s="31"/>
      <c r="F281" s="32"/>
      <c r="G281" s="42"/>
      <c r="H281" s="18" t="str">
        <f>IFERROR(VLOOKUP(G281,List2!$B$2:$C$100,2,FALSE), "Kerkali xodim topilmadi")</f>
        <v>Kerkali xodim topilmadi</v>
      </c>
      <c r="I281" s="7" t="str">
        <f>IFERROR(VLOOKUP(G281,List2!$B$2:$D$100,3,FALSE), "Kerkali BO'LIM topilmadi")</f>
        <v>Kerkali BO'LIM topilmadi</v>
      </c>
      <c r="J281" s="31"/>
      <c r="K281" s="43"/>
      <c r="L281" s="31"/>
      <c r="M281" s="31"/>
      <c r="N281" s="31"/>
      <c r="O281" s="31"/>
      <c r="P281" s="44"/>
      <c r="Q281" s="31"/>
      <c r="R281" s="45"/>
      <c r="S281" s="22"/>
      <c r="T281" s="22"/>
      <c r="U281" s="13"/>
      <c r="V281" s="13"/>
      <c r="W281" s="23"/>
      <c r="X281" s="13"/>
      <c r="Y281" s="13"/>
      <c r="Z281" s="13"/>
      <c r="AA281" s="13"/>
      <c r="AB281" s="13"/>
      <c r="AC281" s="13"/>
      <c r="AD281" s="13"/>
      <c r="AE281" s="13"/>
    </row>
    <row r="282" spans="1:31" ht="20.2" customHeight="1" x14ac:dyDescent="0.3">
      <c r="A282" s="14"/>
      <c r="B282" s="41"/>
      <c r="C282" s="31"/>
      <c r="D282" s="31"/>
      <c r="E282" s="31"/>
      <c r="F282" s="32"/>
      <c r="G282" s="42"/>
      <c r="H282" s="18" t="str">
        <f>IFERROR(VLOOKUP(G282,List2!$B$2:$C$100,2,FALSE), "Kerkali xodim topilmadi")</f>
        <v>Kerkali xodim topilmadi</v>
      </c>
      <c r="I282" s="7" t="str">
        <f>IFERROR(VLOOKUP(G282,List2!$B$2:$D$100,3,FALSE), "Kerkali BO'LIM topilmadi")</f>
        <v>Kerkali BO'LIM topilmadi</v>
      </c>
      <c r="J282" s="31"/>
      <c r="K282" s="43"/>
      <c r="L282" s="31"/>
      <c r="M282" s="31"/>
      <c r="N282" s="31"/>
      <c r="O282" s="31"/>
      <c r="P282" s="44"/>
      <c r="Q282" s="31"/>
      <c r="R282" s="45"/>
      <c r="S282" s="22"/>
      <c r="T282" s="22"/>
      <c r="U282" s="13"/>
      <c r="V282" s="13"/>
      <c r="W282" s="23"/>
      <c r="X282" s="13"/>
      <c r="Y282" s="13"/>
      <c r="Z282" s="13"/>
      <c r="AA282" s="13"/>
      <c r="AB282" s="13"/>
      <c r="AC282" s="13"/>
      <c r="AD282" s="13"/>
      <c r="AE282" s="13"/>
    </row>
    <row r="283" spans="1:31" ht="20.2" customHeight="1" x14ac:dyDescent="0.3">
      <c r="A283" s="14"/>
      <c r="B283" s="41"/>
      <c r="C283" s="31"/>
      <c r="D283" s="31"/>
      <c r="E283" s="31"/>
      <c r="F283" s="32"/>
      <c r="G283" s="42"/>
      <c r="H283" s="18" t="str">
        <f>IFERROR(VLOOKUP(G283,List2!$B$2:$C$100,2,FALSE), "Kerkali xodim topilmadi")</f>
        <v>Kerkali xodim topilmadi</v>
      </c>
      <c r="I283" s="7" t="str">
        <f>IFERROR(VLOOKUP(G283,List2!$B$2:$D$100,3,FALSE), "Kerkali BO'LIM topilmadi")</f>
        <v>Kerkali BO'LIM topilmadi</v>
      </c>
      <c r="J283" s="31"/>
      <c r="K283" s="43"/>
      <c r="L283" s="31"/>
      <c r="M283" s="31"/>
      <c r="N283" s="31"/>
      <c r="O283" s="31"/>
      <c r="P283" s="44"/>
      <c r="Q283" s="31"/>
      <c r="R283" s="45"/>
      <c r="S283" s="22"/>
      <c r="T283" s="22"/>
      <c r="U283" s="13"/>
      <c r="V283" s="13"/>
      <c r="W283" s="23"/>
      <c r="X283" s="13"/>
      <c r="Y283" s="13"/>
      <c r="Z283" s="13"/>
      <c r="AA283" s="13"/>
      <c r="AB283" s="13"/>
      <c r="AC283" s="13"/>
      <c r="AD283" s="13"/>
      <c r="AE283" s="13"/>
    </row>
    <row r="284" spans="1:31" ht="20.2" customHeight="1" x14ac:dyDescent="0.3">
      <c r="A284" s="14"/>
      <c r="B284" s="41"/>
      <c r="C284" s="31"/>
      <c r="D284" s="31"/>
      <c r="E284" s="31"/>
      <c r="F284" s="32"/>
      <c r="G284" s="42"/>
      <c r="H284" s="18" t="str">
        <f>IFERROR(VLOOKUP(G284,List2!$B$2:$C$100,2,FALSE), "Kerkali xodim topilmadi")</f>
        <v>Kerkali xodim topilmadi</v>
      </c>
      <c r="I284" s="7" t="str">
        <f>IFERROR(VLOOKUP(G284,List2!$B$2:$D$100,3,FALSE), "Kerkali BO'LIM topilmadi")</f>
        <v>Kerkali BO'LIM topilmadi</v>
      </c>
      <c r="J284" s="31"/>
      <c r="K284" s="43"/>
      <c r="L284" s="31"/>
      <c r="M284" s="31"/>
      <c r="N284" s="31"/>
      <c r="O284" s="31"/>
      <c r="P284" s="44"/>
      <c r="Q284" s="31"/>
      <c r="R284" s="45"/>
      <c r="S284" s="22"/>
      <c r="T284" s="22"/>
      <c r="U284" s="13"/>
      <c r="V284" s="13"/>
      <c r="W284" s="23"/>
      <c r="X284" s="13"/>
      <c r="Y284" s="13"/>
      <c r="Z284" s="13"/>
      <c r="AA284" s="13"/>
      <c r="AB284" s="13"/>
      <c r="AC284" s="13"/>
      <c r="AD284" s="13"/>
      <c r="AE284" s="13"/>
    </row>
    <row r="285" spans="1:31" ht="20.2" customHeight="1" x14ac:dyDescent="0.3">
      <c r="A285" s="14"/>
      <c r="B285" s="41"/>
      <c r="C285" s="31"/>
      <c r="D285" s="31"/>
      <c r="E285" s="31"/>
      <c r="F285" s="32"/>
      <c r="G285" s="42"/>
      <c r="H285" s="18" t="str">
        <f>IFERROR(VLOOKUP(G285,List2!$B$2:$C$100,2,FALSE), "Kerkali xodim topilmadi")</f>
        <v>Kerkali xodim topilmadi</v>
      </c>
      <c r="I285" s="7" t="str">
        <f>IFERROR(VLOOKUP(G285,List2!$B$2:$D$100,3,FALSE), "Kerkali BO'LIM topilmadi")</f>
        <v>Kerkali BO'LIM topilmadi</v>
      </c>
      <c r="J285" s="31"/>
      <c r="K285" s="43"/>
      <c r="L285" s="31"/>
      <c r="M285" s="31"/>
      <c r="N285" s="31"/>
      <c r="O285" s="31"/>
      <c r="P285" s="44"/>
      <c r="Q285" s="31"/>
      <c r="R285" s="45"/>
      <c r="S285" s="22"/>
      <c r="T285" s="22"/>
      <c r="U285" s="13"/>
      <c r="V285" s="13"/>
      <c r="W285" s="23"/>
      <c r="X285" s="13"/>
      <c r="Y285" s="13"/>
      <c r="Z285" s="13"/>
      <c r="AA285" s="13"/>
      <c r="AB285" s="13"/>
      <c r="AC285" s="13"/>
      <c r="AD285" s="13"/>
      <c r="AE285" s="13"/>
    </row>
    <row r="286" spans="1:31" ht="20.2" customHeight="1" x14ac:dyDescent="0.3">
      <c r="A286" s="14"/>
      <c r="B286" s="41"/>
      <c r="C286" s="31"/>
      <c r="D286" s="31"/>
      <c r="E286" s="31"/>
      <c r="F286" s="32"/>
      <c r="G286" s="42"/>
      <c r="H286" s="18" t="str">
        <f>IFERROR(VLOOKUP(G286,List2!$B$2:$C$100,2,FALSE), "Kerkali xodim topilmadi")</f>
        <v>Kerkali xodim topilmadi</v>
      </c>
      <c r="I286" s="7" t="str">
        <f>IFERROR(VLOOKUP(G286,List2!$B$2:$D$100,3,FALSE), "Kerkali BO'LIM topilmadi")</f>
        <v>Kerkali BO'LIM topilmadi</v>
      </c>
      <c r="J286" s="31"/>
      <c r="K286" s="43"/>
      <c r="L286" s="31"/>
      <c r="M286" s="31"/>
      <c r="N286" s="31"/>
      <c r="O286" s="31"/>
      <c r="P286" s="44"/>
      <c r="Q286" s="31"/>
      <c r="R286" s="45"/>
      <c r="S286" s="22"/>
      <c r="T286" s="22"/>
      <c r="U286" s="13"/>
      <c r="V286" s="13"/>
      <c r="W286" s="23"/>
      <c r="X286" s="13"/>
      <c r="Y286" s="13"/>
      <c r="Z286" s="13"/>
      <c r="AA286" s="13"/>
      <c r="AB286" s="13"/>
      <c r="AC286" s="13"/>
      <c r="AD286" s="13"/>
      <c r="AE286" s="13"/>
    </row>
    <row r="287" spans="1:31" ht="20.2" customHeight="1" x14ac:dyDescent="0.3">
      <c r="A287" s="14"/>
      <c r="B287" s="41"/>
      <c r="C287" s="31"/>
      <c r="D287" s="31"/>
      <c r="E287" s="31"/>
      <c r="F287" s="32"/>
      <c r="G287" s="42"/>
      <c r="H287" s="18" t="str">
        <f>IFERROR(VLOOKUP(G287,List2!$B$2:$C$100,2,FALSE), "Kerkali xodim topilmadi")</f>
        <v>Kerkali xodim topilmadi</v>
      </c>
      <c r="I287" s="7" t="str">
        <f>IFERROR(VLOOKUP(G287,List2!$B$2:$D$100,3,FALSE), "Kerkali BO'LIM topilmadi")</f>
        <v>Kerkali BO'LIM topilmadi</v>
      </c>
      <c r="J287" s="31"/>
      <c r="K287" s="43"/>
      <c r="L287" s="31"/>
      <c r="M287" s="31"/>
      <c r="N287" s="31"/>
      <c r="O287" s="31"/>
      <c r="P287" s="44"/>
      <c r="Q287" s="31"/>
      <c r="R287" s="45"/>
      <c r="S287" s="22"/>
      <c r="T287" s="22"/>
      <c r="U287" s="13"/>
      <c r="V287" s="13"/>
      <c r="W287" s="23"/>
      <c r="X287" s="13"/>
      <c r="Y287" s="13"/>
      <c r="Z287" s="13"/>
      <c r="AA287" s="13"/>
      <c r="AB287" s="13"/>
      <c r="AC287" s="13"/>
      <c r="AD287" s="13"/>
      <c r="AE287" s="13"/>
    </row>
    <row r="288" spans="1:31" ht="20.2" customHeight="1" x14ac:dyDescent="0.3">
      <c r="A288" s="14"/>
      <c r="B288" s="41"/>
      <c r="C288" s="31"/>
      <c r="D288" s="31"/>
      <c r="E288" s="31"/>
      <c r="F288" s="32"/>
      <c r="G288" s="42"/>
      <c r="H288" s="18" t="str">
        <f>IFERROR(VLOOKUP(G288,List2!$B$2:$C$100,2,FALSE), "Kerkali xodim topilmadi")</f>
        <v>Kerkali xodim topilmadi</v>
      </c>
      <c r="I288" s="7" t="str">
        <f>IFERROR(VLOOKUP(G288,List2!$B$2:$D$100,3,FALSE), "Kerkali BO'LIM topilmadi")</f>
        <v>Kerkali BO'LIM topilmadi</v>
      </c>
      <c r="J288" s="31"/>
      <c r="K288" s="43"/>
      <c r="L288" s="31"/>
      <c r="M288" s="31"/>
      <c r="N288" s="31"/>
      <c r="O288" s="31"/>
      <c r="P288" s="44"/>
      <c r="Q288" s="31"/>
      <c r="R288" s="45"/>
      <c r="S288" s="22"/>
      <c r="T288" s="22"/>
      <c r="U288" s="13"/>
      <c r="V288" s="13"/>
      <c r="W288" s="23"/>
      <c r="X288" s="13"/>
      <c r="Y288" s="13"/>
      <c r="Z288" s="13"/>
      <c r="AA288" s="13"/>
      <c r="AB288" s="13"/>
      <c r="AC288" s="13"/>
      <c r="AD288" s="13"/>
      <c r="AE288" s="13"/>
    </row>
    <row r="289" spans="1:31" ht="20.2" customHeight="1" x14ac:dyDescent="0.3">
      <c r="A289" s="14"/>
      <c r="B289" s="41"/>
      <c r="C289" s="31"/>
      <c r="D289" s="31"/>
      <c r="E289" s="31"/>
      <c r="F289" s="32"/>
      <c r="G289" s="42"/>
      <c r="H289" s="18" t="str">
        <f>IFERROR(VLOOKUP(G289,List2!$B$2:$C$100,2,FALSE), "Kerkali xodim topilmadi")</f>
        <v>Kerkali xodim topilmadi</v>
      </c>
      <c r="I289" s="7" t="str">
        <f>IFERROR(VLOOKUP(G289,List2!$B$2:$D$100,3,FALSE), "Kerkali BO'LIM topilmadi")</f>
        <v>Kerkali BO'LIM topilmadi</v>
      </c>
      <c r="J289" s="31"/>
      <c r="K289" s="43"/>
      <c r="L289" s="31"/>
      <c r="M289" s="31"/>
      <c r="N289" s="31"/>
      <c r="O289" s="31"/>
      <c r="P289" s="44"/>
      <c r="Q289" s="31"/>
      <c r="R289" s="45"/>
      <c r="S289" s="22"/>
      <c r="T289" s="22"/>
      <c r="U289" s="13"/>
      <c r="V289" s="13"/>
      <c r="W289" s="23"/>
      <c r="X289" s="13"/>
      <c r="Y289" s="13"/>
      <c r="Z289" s="13"/>
      <c r="AA289" s="13"/>
      <c r="AB289" s="13"/>
      <c r="AC289" s="13"/>
      <c r="AD289" s="13"/>
      <c r="AE289" s="13"/>
    </row>
    <row r="290" spans="1:31" ht="20.2" customHeight="1" x14ac:dyDescent="0.3">
      <c r="A290" s="14"/>
      <c r="B290" s="41"/>
      <c r="C290" s="31"/>
      <c r="D290" s="31"/>
      <c r="E290" s="31"/>
      <c r="F290" s="32"/>
      <c r="G290" s="42"/>
      <c r="H290" s="18" t="str">
        <f>IFERROR(VLOOKUP(G290,List2!$B$2:$C$100,2,FALSE), "Kerkali xodim topilmadi")</f>
        <v>Kerkali xodim topilmadi</v>
      </c>
      <c r="I290" s="7" t="str">
        <f>IFERROR(VLOOKUP(G290,List2!$B$2:$D$100,3,FALSE), "Kerkali BO'LIM topilmadi")</f>
        <v>Kerkali BO'LIM topilmadi</v>
      </c>
      <c r="J290" s="31"/>
      <c r="K290" s="43"/>
      <c r="L290" s="31"/>
      <c r="M290" s="31"/>
      <c r="N290" s="31"/>
      <c r="O290" s="31"/>
      <c r="P290" s="44"/>
      <c r="Q290" s="31"/>
      <c r="R290" s="45"/>
      <c r="S290" s="22"/>
      <c r="T290" s="22"/>
      <c r="U290" s="13"/>
      <c r="V290" s="13"/>
      <c r="W290" s="23"/>
      <c r="X290" s="13"/>
      <c r="Y290" s="13"/>
      <c r="Z290" s="13"/>
      <c r="AA290" s="13"/>
      <c r="AB290" s="13"/>
      <c r="AC290" s="13"/>
      <c r="AD290" s="13"/>
      <c r="AE290" s="13"/>
    </row>
    <row r="291" spans="1:31" ht="20.2" customHeight="1" x14ac:dyDescent="0.3">
      <c r="A291" s="14"/>
      <c r="B291" s="41"/>
      <c r="C291" s="31"/>
      <c r="D291" s="31"/>
      <c r="E291" s="31"/>
      <c r="F291" s="32"/>
      <c r="G291" s="42"/>
      <c r="H291" s="18" t="str">
        <f>IFERROR(VLOOKUP(G291,List2!$B$2:$C$100,2,FALSE), "Kerkali xodim topilmadi")</f>
        <v>Kerkali xodim topilmadi</v>
      </c>
      <c r="I291" s="7" t="str">
        <f>IFERROR(VLOOKUP(G291,List2!$B$2:$D$100,3,FALSE), "Kerkali BO'LIM topilmadi")</f>
        <v>Kerkali BO'LIM topilmadi</v>
      </c>
      <c r="J291" s="31"/>
      <c r="K291" s="43"/>
      <c r="L291" s="31"/>
      <c r="M291" s="31"/>
      <c r="N291" s="31"/>
      <c r="O291" s="31"/>
      <c r="P291" s="44"/>
      <c r="Q291" s="31"/>
      <c r="R291" s="45"/>
      <c r="S291" s="22"/>
      <c r="T291" s="22"/>
      <c r="U291" s="13"/>
      <c r="V291" s="13"/>
      <c r="W291" s="23"/>
      <c r="X291" s="13"/>
      <c r="Y291" s="13"/>
      <c r="Z291" s="13"/>
      <c r="AA291" s="13"/>
      <c r="AB291" s="13"/>
      <c r="AC291" s="13"/>
      <c r="AD291" s="13"/>
      <c r="AE291" s="13"/>
    </row>
    <row r="292" spans="1:31" ht="20.2" customHeight="1" x14ac:dyDescent="0.3">
      <c r="A292" s="14"/>
      <c r="B292" s="41"/>
      <c r="C292" s="31"/>
      <c r="D292" s="31"/>
      <c r="E292" s="31"/>
      <c r="F292" s="32"/>
      <c r="G292" s="42"/>
      <c r="H292" s="18" t="str">
        <f>IFERROR(VLOOKUP(G292,List2!$B$2:$C$100,2,FALSE), "Kerkali xodim topilmadi")</f>
        <v>Kerkali xodim topilmadi</v>
      </c>
      <c r="I292" s="7" t="str">
        <f>IFERROR(VLOOKUP(G292,List2!$B$2:$D$100,3,FALSE), "Kerkali BO'LIM topilmadi")</f>
        <v>Kerkali BO'LIM topilmadi</v>
      </c>
      <c r="J292" s="31"/>
      <c r="K292" s="43"/>
      <c r="L292" s="31"/>
      <c r="M292" s="31"/>
      <c r="N292" s="31"/>
      <c r="O292" s="31"/>
      <c r="P292" s="44"/>
      <c r="Q292" s="31"/>
      <c r="R292" s="45"/>
      <c r="S292" s="22"/>
      <c r="T292" s="22"/>
      <c r="U292" s="13"/>
      <c r="V292" s="13"/>
      <c r="W292" s="23"/>
      <c r="X292" s="13"/>
      <c r="Y292" s="13"/>
      <c r="Z292" s="13"/>
      <c r="AA292" s="13"/>
      <c r="AB292" s="13"/>
      <c r="AC292" s="13"/>
      <c r="AD292" s="13"/>
      <c r="AE292" s="13"/>
    </row>
    <row r="293" spans="1:31" ht="20.2" customHeight="1" x14ac:dyDescent="0.3">
      <c r="A293" s="14"/>
      <c r="B293" s="41"/>
      <c r="C293" s="31"/>
      <c r="D293" s="31"/>
      <c r="E293" s="31"/>
      <c r="F293" s="32"/>
      <c r="G293" s="42"/>
      <c r="H293" s="18" t="str">
        <f>IFERROR(VLOOKUP(G293,List2!$B$2:$C$100,2,FALSE), "Kerkali xodim topilmadi")</f>
        <v>Kerkali xodim topilmadi</v>
      </c>
      <c r="I293" s="7" t="str">
        <f>IFERROR(VLOOKUP(G293,List2!$B$2:$D$100,3,FALSE), "Kerkali BO'LIM topilmadi")</f>
        <v>Kerkali BO'LIM topilmadi</v>
      </c>
      <c r="J293" s="31"/>
      <c r="K293" s="43"/>
      <c r="L293" s="31"/>
      <c r="M293" s="31"/>
      <c r="N293" s="31"/>
      <c r="O293" s="31"/>
      <c r="P293" s="44"/>
      <c r="Q293" s="31"/>
      <c r="R293" s="45"/>
      <c r="S293" s="22"/>
      <c r="T293" s="22"/>
      <c r="U293" s="13"/>
      <c r="V293" s="13"/>
      <c r="W293" s="23"/>
      <c r="X293" s="13"/>
      <c r="Y293" s="13"/>
      <c r="Z293" s="13"/>
      <c r="AA293" s="13"/>
      <c r="AB293" s="13"/>
      <c r="AC293" s="13"/>
      <c r="AD293" s="13"/>
      <c r="AE293" s="13"/>
    </row>
    <row r="294" spans="1:31" ht="20.2" customHeight="1" x14ac:dyDescent="0.3">
      <c r="A294" s="14"/>
      <c r="B294" s="41"/>
      <c r="C294" s="31"/>
      <c r="D294" s="31"/>
      <c r="E294" s="31"/>
      <c r="F294" s="32"/>
      <c r="G294" s="42"/>
      <c r="H294" s="18" t="str">
        <f>IFERROR(VLOOKUP(G294,List2!$B$2:$C$100,2,FALSE), "Kerkali xodim topilmadi")</f>
        <v>Kerkali xodim topilmadi</v>
      </c>
      <c r="I294" s="7" t="str">
        <f>IFERROR(VLOOKUP(G294,List2!$B$2:$D$100,3,FALSE), "Kerkali BO'LIM topilmadi")</f>
        <v>Kerkali BO'LIM topilmadi</v>
      </c>
      <c r="J294" s="31"/>
      <c r="K294" s="43"/>
      <c r="L294" s="31"/>
      <c r="M294" s="31"/>
      <c r="N294" s="31"/>
      <c r="O294" s="31"/>
      <c r="P294" s="44"/>
      <c r="Q294" s="31"/>
      <c r="R294" s="45"/>
      <c r="S294" s="22"/>
      <c r="T294" s="22"/>
      <c r="U294" s="13"/>
      <c r="V294" s="13"/>
      <c r="W294" s="23"/>
      <c r="X294" s="13"/>
      <c r="Y294" s="13"/>
      <c r="Z294" s="13"/>
      <c r="AA294" s="13"/>
      <c r="AB294" s="13"/>
      <c r="AC294" s="13"/>
      <c r="AD294" s="13"/>
      <c r="AE294" s="13"/>
    </row>
    <row r="295" spans="1:31" ht="20.2" customHeight="1" x14ac:dyDescent="0.3">
      <c r="A295" s="14"/>
      <c r="B295" s="41"/>
      <c r="C295" s="31"/>
      <c r="D295" s="31"/>
      <c r="E295" s="31"/>
      <c r="F295" s="32"/>
      <c r="G295" s="42"/>
      <c r="H295" s="18" t="str">
        <f>IFERROR(VLOOKUP(G295,List2!$B$2:$C$100,2,FALSE), "Kerkali xodim topilmadi")</f>
        <v>Kerkali xodim topilmadi</v>
      </c>
      <c r="I295" s="7" t="str">
        <f>IFERROR(VLOOKUP(G295,List2!$B$2:$D$100,3,FALSE), "Kerkali BO'LIM topilmadi")</f>
        <v>Kerkali BO'LIM topilmadi</v>
      </c>
      <c r="J295" s="31"/>
      <c r="K295" s="43"/>
      <c r="L295" s="31"/>
      <c r="M295" s="31"/>
      <c r="N295" s="31"/>
      <c r="O295" s="31"/>
      <c r="P295" s="44"/>
      <c r="Q295" s="31"/>
      <c r="R295" s="45"/>
      <c r="S295" s="22"/>
      <c r="T295" s="22"/>
      <c r="U295" s="13"/>
      <c r="V295" s="13"/>
      <c r="W295" s="23"/>
      <c r="X295" s="13"/>
      <c r="Y295" s="13"/>
      <c r="Z295" s="13"/>
      <c r="AA295" s="13"/>
      <c r="AB295" s="13"/>
      <c r="AC295" s="13"/>
      <c r="AD295" s="13"/>
      <c r="AE295" s="13"/>
    </row>
    <row r="296" spans="1:31" ht="20.2" customHeight="1" x14ac:dyDescent="0.3">
      <c r="A296" s="14"/>
      <c r="B296" s="41"/>
      <c r="C296" s="31"/>
      <c r="D296" s="31"/>
      <c r="E296" s="31"/>
      <c r="F296" s="32"/>
      <c r="G296" s="42"/>
      <c r="H296" s="18" t="str">
        <f>IFERROR(VLOOKUP(G296,List2!$B$2:$C$100,2,FALSE), "Kerkali xodim topilmadi")</f>
        <v>Kerkali xodim topilmadi</v>
      </c>
      <c r="I296" s="7" t="str">
        <f>IFERROR(VLOOKUP(G296,List2!$B$2:$D$100,3,FALSE), "Kerkali BO'LIM topilmadi")</f>
        <v>Kerkali BO'LIM topilmadi</v>
      </c>
      <c r="J296" s="31"/>
      <c r="K296" s="43"/>
      <c r="L296" s="31"/>
      <c r="M296" s="31"/>
      <c r="N296" s="31"/>
      <c r="O296" s="31"/>
      <c r="P296" s="44"/>
      <c r="Q296" s="31"/>
      <c r="R296" s="45"/>
      <c r="S296" s="22"/>
      <c r="T296" s="22"/>
      <c r="U296" s="13"/>
      <c r="V296" s="13"/>
      <c r="W296" s="23"/>
      <c r="X296" s="13"/>
      <c r="Y296" s="13"/>
      <c r="Z296" s="13"/>
      <c r="AA296" s="13"/>
      <c r="AB296" s="13"/>
      <c r="AC296" s="13"/>
      <c r="AD296" s="13"/>
      <c r="AE296" s="13"/>
    </row>
    <row r="297" spans="1:31" ht="20.2" customHeight="1" x14ac:dyDescent="0.3">
      <c r="A297" s="14"/>
      <c r="B297" s="41"/>
      <c r="C297" s="31"/>
      <c r="D297" s="31"/>
      <c r="E297" s="31"/>
      <c r="F297" s="32"/>
      <c r="G297" s="42"/>
      <c r="H297" s="18" t="str">
        <f>IFERROR(VLOOKUP(G297,List2!$B$2:$C$100,2,FALSE), "Kerkali xodim topilmadi")</f>
        <v>Kerkali xodim topilmadi</v>
      </c>
      <c r="I297" s="7" t="str">
        <f>IFERROR(VLOOKUP(G297,List2!$B$2:$D$100,3,FALSE), "Kerkali BO'LIM topilmadi")</f>
        <v>Kerkali BO'LIM topilmadi</v>
      </c>
      <c r="J297" s="31"/>
      <c r="K297" s="43"/>
      <c r="L297" s="31"/>
      <c r="M297" s="31"/>
      <c r="N297" s="31"/>
      <c r="O297" s="31"/>
      <c r="P297" s="44"/>
      <c r="Q297" s="31"/>
      <c r="R297" s="45"/>
      <c r="S297" s="22"/>
      <c r="T297" s="22"/>
      <c r="U297" s="13"/>
      <c r="V297" s="13"/>
      <c r="W297" s="23"/>
      <c r="X297" s="13"/>
      <c r="Y297" s="13"/>
      <c r="Z297" s="13"/>
      <c r="AA297" s="13"/>
      <c r="AB297" s="13"/>
      <c r="AC297" s="13"/>
      <c r="AD297" s="13"/>
      <c r="AE297" s="13"/>
    </row>
    <row r="298" spans="1:31" ht="20.2" customHeight="1" x14ac:dyDescent="0.3">
      <c r="A298" s="14"/>
      <c r="B298" s="41"/>
      <c r="C298" s="31"/>
      <c r="D298" s="31"/>
      <c r="E298" s="31"/>
      <c r="F298" s="32"/>
      <c r="G298" s="42"/>
      <c r="H298" s="18" t="str">
        <f>IFERROR(VLOOKUP(G298,List2!$B$2:$C$100,2,FALSE), "Kerkali xodim topilmadi")</f>
        <v>Kerkali xodim topilmadi</v>
      </c>
      <c r="I298" s="7" t="str">
        <f>IFERROR(VLOOKUP(G298,List2!$B$2:$D$100,3,FALSE), "Kerkali BO'LIM topilmadi")</f>
        <v>Kerkali BO'LIM topilmadi</v>
      </c>
      <c r="J298" s="31"/>
      <c r="K298" s="43"/>
      <c r="L298" s="31"/>
      <c r="M298" s="31"/>
      <c r="N298" s="31"/>
      <c r="O298" s="31"/>
      <c r="P298" s="44"/>
      <c r="Q298" s="31"/>
      <c r="R298" s="45"/>
      <c r="S298" s="22"/>
      <c r="T298" s="22"/>
      <c r="U298" s="13"/>
      <c r="V298" s="13"/>
      <c r="W298" s="23"/>
      <c r="X298" s="13"/>
      <c r="Y298" s="13"/>
      <c r="Z298" s="13"/>
      <c r="AA298" s="13"/>
      <c r="AB298" s="13"/>
      <c r="AC298" s="13"/>
      <c r="AD298" s="13"/>
      <c r="AE298" s="13"/>
    </row>
    <row r="299" spans="1:31" ht="20.2" customHeight="1" x14ac:dyDescent="0.3">
      <c r="A299" s="14"/>
      <c r="B299" s="41"/>
      <c r="C299" s="31"/>
      <c r="D299" s="31"/>
      <c r="E299" s="31"/>
      <c r="F299" s="32"/>
      <c r="G299" s="42"/>
      <c r="H299" s="18" t="str">
        <f>IFERROR(VLOOKUP(G299,List2!$B$2:$C$100,2,FALSE), "Kerkali xodim topilmadi")</f>
        <v>Kerkali xodim topilmadi</v>
      </c>
      <c r="I299" s="7" t="str">
        <f>IFERROR(VLOOKUP(G299,List2!$B$2:$D$100,3,FALSE), "Kerkali BO'LIM topilmadi")</f>
        <v>Kerkali BO'LIM topilmadi</v>
      </c>
      <c r="J299" s="31"/>
      <c r="K299" s="43"/>
      <c r="L299" s="31"/>
      <c r="M299" s="31"/>
      <c r="N299" s="31"/>
      <c r="O299" s="31"/>
      <c r="P299" s="44"/>
      <c r="Q299" s="31"/>
      <c r="R299" s="45"/>
      <c r="S299" s="22"/>
      <c r="T299" s="22"/>
      <c r="U299" s="13"/>
      <c r="V299" s="13"/>
      <c r="W299" s="23"/>
      <c r="X299" s="13"/>
      <c r="Y299" s="13"/>
      <c r="Z299" s="13"/>
      <c r="AA299" s="13"/>
      <c r="AB299" s="13"/>
      <c r="AC299" s="13"/>
      <c r="AD299" s="13"/>
      <c r="AE299" s="13"/>
    </row>
    <row r="300" spans="1:31" ht="20.2" customHeight="1" x14ac:dyDescent="0.3">
      <c r="A300" s="14"/>
      <c r="B300" s="41"/>
      <c r="C300" s="31"/>
      <c r="D300" s="31"/>
      <c r="E300" s="31"/>
      <c r="F300" s="32"/>
      <c r="G300" s="42"/>
      <c r="H300" s="18" t="str">
        <f>IFERROR(VLOOKUP(G300,List2!$B$2:$C$100,2,FALSE), "Kerkali xodim topilmadi")</f>
        <v>Kerkali xodim topilmadi</v>
      </c>
      <c r="I300" s="7" t="str">
        <f>IFERROR(VLOOKUP(G300,List2!$B$2:$D$100,3,FALSE), "Kerkali BO'LIM topilmadi")</f>
        <v>Kerkali BO'LIM topilmadi</v>
      </c>
      <c r="J300" s="31"/>
      <c r="K300" s="43"/>
      <c r="L300" s="31"/>
      <c r="M300" s="31"/>
      <c r="N300" s="31"/>
      <c r="O300" s="31"/>
      <c r="P300" s="44"/>
      <c r="Q300" s="31"/>
      <c r="R300" s="45"/>
      <c r="S300" s="22"/>
      <c r="T300" s="22"/>
      <c r="U300" s="13"/>
      <c r="V300" s="13"/>
      <c r="W300" s="23"/>
      <c r="X300" s="13"/>
      <c r="Y300" s="13"/>
      <c r="Z300" s="13"/>
      <c r="AA300" s="13"/>
      <c r="AB300" s="13"/>
      <c r="AC300" s="13"/>
      <c r="AD300" s="13"/>
      <c r="AE300" s="13"/>
    </row>
    <row r="301" spans="1:31" ht="20.2" customHeight="1" x14ac:dyDescent="0.3">
      <c r="A301" s="14"/>
      <c r="B301" s="41"/>
      <c r="C301" s="31"/>
      <c r="D301" s="31"/>
      <c r="E301" s="31"/>
      <c r="F301" s="32"/>
      <c r="G301" s="42"/>
      <c r="H301" s="18" t="str">
        <f>IFERROR(VLOOKUP(G301,List2!$B$2:$C$100,2,FALSE), "Kerkali xodim topilmadi")</f>
        <v>Kerkali xodim topilmadi</v>
      </c>
      <c r="I301" s="7" t="str">
        <f>IFERROR(VLOOKUP(G301,List2!$B$2:$D$100,3,FALSE), "Kerkali BO'LIM topilmadi")</f>
        <v>Kerkali BO'LIM topilmadi</v>
      </c>
      <c r="J301" s="31"/>
      <c r="K301" s="43"/>
      <c r="L301" s="31"/>
      <c r="M301" s="31"/>
      <c r="N301" s="31"/>
      <c r="O301" s="31"/>
      <c r="P301" s="44"/>
      <c r="Q301" s="31"/>
      <c r="R301" s="45"/>
      <c r="S301" s="22"/>
      <c r="T301" s="22"/>
      <c r="U301" s="13"/>
      <c r="V301" s="13"/>
      <c r="W301" s="23"/>
      <c r="X301" s="13"/>
      <c r="Y301" s="13"/>
      <c r="Z301" s="13"/>
      <c r="AA301" s="13"/>
      <c r="AB301" s="13"/>
      <c r="AC301" s="13"/>
      <c r="AD301" s="13"/>
      <c r="AE301" s="13"/>
    </row>
    <row r="302" spans="1:31" ht="20.2" customHeight="1" x14ac:dyDescent="0.3">
      <c r="A302" s="14"/>
      <c r="B302" s="41"/>
      <c r="C302" s="31"/>
      <c r="D302" s="31"/>
      <c r="E302" s="31"/>
      <c r="F302" s="32"/>
      <c r="G302" s="42"/>
      <c r="H302" s="18" t="str">
        <f>IFERROR(VLOOKUP(G302,List2!$B$2:$C$100,2,FALSE), "Kerkali xodim topilmadi")</f>
        <v>Kerkali xodim topilmadi</v>
      </c>
      <c r="I302" s="7" t="str">
        <f>IFERROR(VLOOKUP(G302,List2!$B$2:$D$100,3,FALSE), "Kerkali BO'LIM topilmadi")</f>
        <v>Kerkali BO'LIM topilmadi</v>
      </c>
      <c r="J302" s="31"/>
      <c r="K302" s="43"/>
      <c r="L302" s="31"/>
      <c r="M302" s="31"/>
      <c r="N302" s="31"/>
      <c r="O302" s="31"/>
      <c r="P302" s="44"/>
      <c r="Q302" s="31"/>
      <c r="R302" s="45"/>
      <c r="S302" s="22"/>
      <c r="T302" s="22"/>
      <c r="U302" s="13"/>
      <c r="V302" s="13"/>
      <c r="W302" s="23"/>
      <c r="X302" s="13"/>
      <c r="Y302" s="13"/>
      <c r="Z302" s="13"/>
      <c r="AA302" s="13"/>
      <c r="AB302" s="13"/>
      <c r="AC302" s="13"/>
      <c r="AD302" s="13"/>
      <c r="AE302" s="13"/>
    </row>
    <row r="303" spans="1:31" ht="20.2" customHeight="1" x14ac:dyDescent="0.3">
      <c r="A303" s="14"/>
      <c r="B303" s="41"/>
      <c r="C303" s="31"/>
      <c r="D303" s="31"/>
      <c r="E303" s="31"/>
      <c r="F303" s="32"/>
      <c r="G303" s="42"/>
      <c r="H303" s="18" t="str">
        <f>IFERROR(VLOOKUP(G303,List2!$B$2:$C$100,2,FALSE), "Kerkali xodim topilmadi")</f>
        <v>Kerkali xodim topilmadi</v>
      </c>
      <c r="I303" s="7" t="str">
        <f>IFERROR(VLOOKUP(G303,List2!$B$2:$D$100,3,FALSE), "Kerkali BO'LIM topilmadi")</f>
        <v>Kerkali BO'LIM topilmadi</v>
      </c>
      <c r="J303" s="31"/>
      <c r="K303" s="43"/>
      <c r="L303" s="31"/>
      <c r="M303" s="31"/>
      <c r="N303" s="31"/>
      <c r="O303" s="31"/>
      <c r="P303" s="44"/>
      <c r="Q303" s="31"/>
      <c r="R303" s="45"/>
      <c r="S303" s="22"/>
      <c r="T303" s="22"/>
      <c r="U303" s="13"/>
      <c r="V303" s="13"/>
      <c r="W303" s="23"/>
      <c r="X303" s="13"/>
      <c r="Y303" s="13"/>
      <c r="Z303" s="13"/>
      <c r="AA303" s="13"/>
      <c r="AB303" s="13"/>
      <c r="AC303" s="13"/>
      <c r="AD303" s="13"/>
      <c r="AE303" s="13"/>
    </row>
    <row r="304" spans="1:31" ht="20.2" customHeight="1" x14ac:dyDescent="0.3">
      <c r="A304" s="14"/>
      <c r="B304" s="41"/>
      <c r="C304" s="31"/>
      <c r="D304" s="31"/>
      <c r="E304" s="31"/>
      <c r="F304" s="32"/>
      <c r="G304" s="42"/>
      <c r="H304" s="18" t="str">
        <f>IFERROR(VLOOKUP(G304,List2!$B$2:$C$100,2,FALSE), "Kerkali xodim topilmadi")</f>
        <v>Kerkali xodim topilmadi</v>
      </c>
      <c r="I304" s="7" t="str">
        <f>IFERROR(VLOOKUP(G304,List2!$B$2:$D$100,3,FALSE), "Kerkali BO'LIM topilmadi")</f>
        <v>Kerkali BO'LIM topilmadi</v>
      </c>
      <c r="J304" s="31"/>
      <c r="K304" s="43"/>
      <c r="L304" s="31"/>
      <c r="M304" s="31"/>
      <c r="N304" s="31"/>
      <c r="O304" s="31"/>
      <c r="P304" s="44"/>
      <c r="Q304" s="31"/>
      <c r="R304" s="45"/>
      <c r="S304" s="22"/>
      <c r="T304" s="22"/>
      <c r="U304" s="13"/>
      <c r="V304" s="13"/>
      <c r="W304" s="23"/>
      <c r="X304" s="13"/>
      <c r="Y304" s="13"/>
      <c r="Z304" s="13"/>
      <c r="AA304" s="13"/>
      <c r="AB304" s="13"/>
      <c r="AC304" s="13"/>
      <c r="AD304" s="13"/>
      <c r="AE304" s="13"/>
    </row>
    <row r="305" spans="1:31" ht="20.2" customHeight="1" x14ac:dyDescent="0.3">
      <c r="A305" s="14"/>
      <c r="B305" s="41"/>
      <c r="C305" s="31"/>
      <c r="D305" s="31"/>
      <c r="E305" s="31"/>
      <c r="F305" s="32"/>
      <c r="G305" s="42"/>
      <c r="H305" s="18" t="str">
        <f>IFERROR(VLOOKUP(G305,List2!$B$2:$C$100,2,FALSE), "Kerkali xodim topilmadi")</f>
        <v>Kerkali xodim topilmadi</v>
      </c>
      <c r="I305" s="7" t="str">
        <f>IFERROR(VLOOKUP(G305,List2!$B$2:$D$100,3,FALSE), "Kerkali BO'LIM topilmadi")</f>
        <v>Kerkali BO'LIM topilmadi</v>
      </c>
      <c r="J305" s="31"/>
      <c r="K305" s="43"/>
      <c r="L305" s="31"/>
      <c r="M305" s="31"/>
      <c r="N305" s="31"/>
      <c r="O305" s="31"/>
      <c r="P305" s="44"/>
      <c r="Q305" s="31"/>
      <c r="R305" s="45"/>
      <c r="S305" s="22"/>
      <c r="T305" s="22"/>
      <c r="U305" s="13"/>
      <c r="V305" s="13"/>
      <c r="W305" s="23"/>
      <c r="X305" s="13"/>
      <c r="Y305" s="13"/>
      <c r="Z305" s="13"/>
      <c r="AA305" s="13"/>
      <c r="AB305" s="13"/>
      <c r="AC305" s="13"/>
      <c r="AD305" s="13"/>
      <c r="AE305" s="13"/>
    </row>
    <row r="306" spans="1:31" ht="20.2" customHeight="1" x14ac:dyDescent="0.3">
      <c r="A306" s="14"/>
      <c r="B306" s="41"/>
      <c r="C306" s="31"/>
      <c r="D306" s="31"/>
      <c r="E306" s="31"/>
      <c r="F306" s="32"/>
      <c r="G306" s="42"/>
      <c r="H306" s="18" t="str">
        <f>IFERROR(VLOOKUP(G306,List2!$B$2:$C$100,2,FALSE), "Kerkali xodim topilmadi")</f>
        <v>Kerkali xodim topilmadi</v>
      </c>
      <c r="I306" s="7" t="str">
        <f>IFERROR(VLOOKUP(G306,List2!$B$2:$D$100,3,FALSE), "Kerkali BO'LIM topilmadi")</f>
        <v>Kerkali BO'LIM topilmadi</v>
      </c>
      <c r="J306" s="31"/>
      <c r="K306" s="43"/>
      <c r="L306" s="31"/>
      <c r="M306" s="31"/>
      <c r="N306" s="31"/>
      <c r="O306" s="31"/>
      <c r="P306" s="44"/>
      <c r="Q306" s="31"/>
      <c r="R306" s="45"/>
      <c r="S306" s="22"/>
      <c r="T306" s="22"/>
      <c r="U306" s="13"/>
      <c r="V306" s="13"/>
      <c r="W306" s="23"/>
      <c r="X306" s="13"/>
      <c r="Y306" s="13"/>
      <c r="Z306" s="13"/>
      <c r="AA306" s="13"/>
      <c r="AB306" s="13"/>
      <c r="AC306" s="13"/>
      <c r="AD306" s="13"/>
      <c r="AE306" s="13"/>
    </row>
    <row r="307" spans="1:31" ht="20.2" customHeight="1" x14ac:dyDescent="0.3">
      <c r="A307" s="14"/>
      <c r="B307" s="41"/>
      <c r="C307" s="31"/>
      <c r="D307" s="31"/>
      <c r="E307" s="31"/>
      <c r="F307" s="32"/>
      <c r="G307" s="42"/>
      <c r="H307" s="18" t="str">
        <f>IFERROR(VLOOKUP(G307,List2!$B$2:$C$100,2,FALSE), "Kerkali xodim topilmadi")</f>
        <v>Kerkali xodim topilmadi</v>
      </c>
      <c r="I307" s="7" t="str">
        <f>IFERROR(VLOOKUP(G307,List2!$B$2:$D$100,3,FALSE), "Kerkali BO'LIM topilmadi")</f>
        <v>Kerkali BO'LIM topilmadi</v>
      </c>
      <c r="J307" s="31"/>
      <c r="K307" s="43"/>
      <c r="L307" s="31"/>
      <c r="M307" s="31"/>
      <c r="N307" s="31"/>
      <c r="O307" s="31"/>
      <c r="P307" s="44"/>
      <c r="Q307" s="31"/>
      <c r="R307" s="45"/>
      <c r="S307" s="22"/>
      <c r="T307" s="22"/>
      <c r="U307" s="13"/>
      <c r="V307" s="13"/>
      <c r="W307" s="23"/>
      <c r="X307" s="13"/>
      <c r="Y307" s="13"/>
      <c r="Z307" s="13"/>
      <c r="AA307" s="13"/>
      <c r="AB307" s="13"/>
      <c r="AC307" s="13"/>
      <c r="AD307" s="13"/>
      <c r="AE307" s="13"/>
    </row>
    <row r="308" spans="1:31" ht="20.2" customHeight="1" x14ac:dyDescent="0.3">
      <c r="A308" s="14"/>
      <c r="B308" s="41"/>
      <c r="C308" s="31"/>
      <c r="D308" s="31"/>
      <c r="E308" s="31"/>
      <c r="F308" s="32"/>
      <c r="G308" s="42"/>
      <c r="H308" s="18" t="str">
        <f>IFERROR(VLOOKUP(G308,List2!$B$2:$C$100,2,FALSE), "Kerkali xodim topilmadi")</f>
        <v>Kerkali xodim topilmadi</v>
      </c>
      <c r="I308" s="7" t="str">
        <f>IFERROR(VLOOKUP(G308,List2!$B$2:$D$100,3,FALSE), "Kerkali BO'LIM topilmadi")</f>
        <v>Kerkali BO'LIM topilmadi</v>
      </c>
      <c r="J308" s="31"/>
      <c r="K308" s="43"/>
      <c r="L308" s="31"/>
      <c r="M308" s="31"/>
      <c r="N308" s="31"/>
      <c r="O308" s="31"/>
      <c r="P308" s="44"/>
      <c r="Q308" s="31"/>
      <c r="R308" s="45"/>
      <c r="S308" s="22"/>
      <c r="T308" s="22"/>
      <c r="U308" s="13"/>
      <c r="V308" s="13"/>
      <c r="W308" s="23"/>
      <c r="X308" s="13"/>
      <c r="Y308" s="13"/>
      <c r="Z308" s="13"/>
      <c r="AA308" s="13"/>
      <c r="AB308" s="13"/>
      <c r="AC308" s="13"/>
      <c r="AD308" s="13"/>
      <c r="AE308" s="13"/>
    </row>
    <row r="309" spans="1:31" ht="20.2" customHeight="1" x14ac:dyDescent="0.3">
      <c r="A309" s="14"/>
      <c r="B309" s="41"/>
      <c r="C309" s="31"/>
      <c r="D309" s="31"/>
      <c r="E309" s="31"/>
      <c r="F309" s="32"/>
      <c r="G309" s="42"/>
      <c r="H309" s="18" t="str">
        <f>IFERROR(VLOOKUP(G309,List2!$B$2:$C$100,2,FALSE), "Kerkali xodim topilmadi")</f>
        <v>Kerkali xodim topilmadi</v>
      </c>
      <c r="I309" s="7" t="str">
        <f>IFERROR(VLOOKUP(G309,List2!$B$2:$D$100,3,FALSE), "Kerkali BO'LIM topilmadi")</f>
        <v>Kerkali BO'LIM topilmadi</v>
      </c>
      <c r="J309" s="31"/>
      <c r="K309" s="43"/>
      <c r="L309" s="31"/>
      <c r="M309" s="31"/>
      <c r="N309" s="31"/>
      <c r="O309" s="31"/>
      <c r="P309" s="44"/>
      <c r="Q309" s="31"/>
      <c r="R309" s="45"/>
      <c r="S309" s="22"/>
      <c r="T309" s="22"/>
      <c r="U309" s="13"/>
      <c r="V309" s="13"/>
      <c r="W309" s="23"/>
      <c r="X309" s="13"/>
      <c r="Y309" s="13"/>
      <c r="Z309" s="13"/>
      <c r="AA309" s="13"/>
      <c r="AB309" s="13"/>
      <c r="AC309" s="13"/>
      <c r="AD309" s="13"/>
      <c r="AE309" s="13"/>
    </row>
    <row r="310" spans="1:31" ht="20.2" customHeight="1" x14ac:dyDescent="0.3">
      <c r="A310" s="14"/>
      <c r="B310" s="41"/>
      <c r="C310" s="31"/>
      <c r="D310" s="31"/>
      <c r="E310" s="31"/>
      <c r="F310" s="32"/>
      <c r="G310" s="42"/>
      <c r="H310" s="18" t="str">
        <f>IFERROR(VLOOKUP(G310,List2!$B$2:$C$100,2,FALSE), "Kerkali xodim topilmadi")</f>
        <v>Kerkali xodim topilmadi</v>
      </c>
      <c r="I310" s="7" t="str">
        <f>IFERROR(VLOOKUP(G310,List2!$B$2:$D$100,3,FALSE), "Kerkali BO'LIM topilmadi")</f>
        <v>Kerkali BO'LIM topilmadi</v>
      </c>
      <c r="J310" s="31"/>
      <c r="K310" s="43"/>
      <c r="L310" s="31"/>
      <c r="M310" s="31"/>
      <c r="N310" s="31"/>
      <c r="O310" s="31"/>
      <c r="P310" s="44"/>
      <c r="Q310" s="31"/>
      <c r="R310" s="45"/>
      <c r="S310" s="22"/>
      <c r="T310" s="22"/>
      <c r="U310" s="13"/>
      <c r="V310" s="13"/>
      <c r="W310" s="23"/>
      <c r="X310" s="13"/>
      <c r="Y310" s="13"/>
      <c r="Z310" s="13"/>
      <c r="AA310" s="13"/>
      <c r="AB310" s="13"/>
      <c r="AC310" s="13"/>
      <c r="AD310" s="13"/>
      <c r="AE310" s="13"/>
    </row>
    <row r="311" spans="1:31" ht="20.2" customHeight="1" x14ac:dyDescent="0.3">
      <c r="A311" s="14"/>
      <c r="B311" s="41"/>
      <c r="C311" s="31"/>
      <c r="D311" s="31"/>
      <c r="E311" s="31"/>
      <c r="F311" s="32"/>
      <c r="G311" s="42"/>
      <c r="H311" s="18" t="str">
        <f>IFERROR(VLOOKUP(G311,List2!$B$2:$C$100,2,FALSE), "Kerkali xodim topilmadi")</f>
        <v>Kerkali xodim topilmadi</v>
      </c>
      <c r="I311" s="7" t="str">
        <f>IFERROR(VLOOKUP(G311,List2!$B$2:$D$100,3,FALSE), "Kerkali BO'LIM topilmadi")</f>
        <v>Kerkali BO'LIM topilmadi</v>
      </c>
      <c r="J311" s="31"/>
      <c r="K311" s="43"/>
      <c r="L311" s="31"/>
      <c r="M311" s="31"/>
      <c r="N311" s="31"/>
      <c r="O311" s="31"/>
      <c r="P311" s="44"/>
      <c r="Q311" s="31"/>
      <c r="R311" s="45"/>
      <c r="S311" s="22"/>
      <c r="T311" s="22"/>
      <c r="U311" s="13"/>
      <c r="V311" s="13"/>
      <c r="W311" s="23"/>
      <c r="X311" s="13"/>
      <c r="Y311" s="13"/>
      <c r="Z311" s="13"/>
      <c r="AA311" s="13"/>
      <c r="AB311" s="13"/>
      <c r="AC311" s="13"/>
      <c r="AD311" s="13"/>
      <c r="AE311" s="13"/>
    </row>
    <row r="312" spans="1:31" ht="20.2" customHeight="1" x14ac:dyDescent="0.3">
      <c r="A312" s="14"/>
      <c r="B312" s="41"/>
      <c r="C312" s="31"/>
      <c r="D312" s="31"/>
      <c r="E312" s="31"/>
      <c r="F312" s="32"/>
      <c r="G312" s="42"/>
      <c r="H312" s="18" t="str">
        <f>IFERROR(VLOOKUP(G312,List2!$B$2:$C$100,2,FALSE), "Kerkali xodim topilmadi")</f>
        <v>Kerkali xodim topilmadi</v>
      </c>
      <c r="I312" s="7" t="str">
        <f>IFERROR(VLOOKUP(G312,List2!$B$2:$D$100,3,FALSE), "Kerkali BO'LIM topilmadi")</f>
        <v>Kerkali BO'LIM topilmadi</v>
      </c>
      <c r="J312" s="31"/>
      <c r="K312" s="43"/>
      <c r="L312" s="31"/>
      <c r="M312" s="31"/>
      <c r="N312" s="31"/>
      <c r="O312" s="31"/>
      <c r="P312" s="44"/>
      <c r="Q312" s="31"/>
      <c r="R312" s="45"/>
      <c r="S312" s="22"/>
      <c r="T312" s="22"/>
      <c r="U312" s="13"/>
      <c r="V312" s="13"/>
      <c r="W312" s="23"/>
      <c r="X312" s="13"/>
      <c r="Y312" s="13"/>
      <c r="Z312" s="13"/>
      <c r="AA312" s="13"/>
      <c r="AB312" s="13"/>
      <c r="AC312" s="13"/>
      <c r="AD312" s="13"/>
      <c r="AE312" s="13"/>
    </row>
    <row r="313" spans="1:31" ht="20.2" customHeight="1" x14ac:dyDescent="0.3">
      <c r="A313" s="14"/>
      <c r="B313" s="41"/>
      <c r="C313" s="31"/>
      <c r="D313" s="31"/>
      <c r="E313" s="31"/>
      <c r="F313" s="32"/>
      <c r="G313" s="42"/>
      <c r="H313" s="18" t="str">
        <f>IFERROR(VLOOKUP(G313,List2!$B$2:$C$100,2,FALSE), "Kerkali xodim topilmadi")</f>
        <v>Kerkali xodim topilmadi</v>
      </c>
      <c r="I313" s="7" t="str">
        <f>IFERROR(VLOOKUP(G313,List2!$B$2:$D$100,3,FALSE), "Kerkali BO'LIM topilmadi")</f>
        <v>Kerkali BO'LIM topilmadi</v>
      </c>
      <c r="J313" s="31"/>
      <c r="K313" s="43"/>
      <c r="L313" s="31"/>
      <c r="M313" s="31"/>
      <c r="N313" s="31"/>
      <c r="O313" s="31"/>
      <c r="P313" s="44"/>
      <c r="Q313" s="31"/>
      <c r="R313" s="45"/>
      <c r="S313" s="22"/>
      <c r="T313" s="22"/>
      <c r="U313" s="13"/>
      <c r="V313" s="13"/>
      <c r="W313" s="23"/>
      <c r="X313" s="13"/>
      <c r="Y313" s="13"/>
      <c r="Z313" s="13"/>
      <c r="AA313" s="13"/>
      <c r="AB313" s="13"/>
      <c r="AC313" s="13"/>
      <c r="AD313" s="13"/>
      <c r="AE313" s="13"/>
    </row>
    <row r="314" spans="1:31" ht="20.2" customHeight="1" x14ac:dyDescent="0.3">
      <c r="A314" s="14"/>
      <c r="B314" s="41"/>
      <c r="C314" s="31"/>
      <c r="D314" s="31"/>
      <c r="E314" s="31"/>
      <c r="F314" s="32"/>
      <c r="G314" s="42"/>
      <c r="H314" s="18" t="str">
        <f>IFERROR(VLOOKUP(G314,List2!$B$2:$C$100,2,FALSE), "Kerkali xodim topilmadi")</f>
        <v>Kerkali xodim topilmadi</v>
      </c>
      <c r="I314" s="7" t="str">
        <f>IFERROR(VLOOKUP(G314,List2!$B$2:$D$100,3,FALSE), "Kerkali BO'LIM topilmadi")</f>
        <v>Kerkali BO'LIM topilmadi</v>
      </c>
      <c r="J314" s="31"/>
      <c r="K314" s="43"/>
      <c r="L314" s="31"/>
      <c r="M314" s="31"/>
      <c r="N314" s="31"/>
      <c r="O314" s="31"/>
      <c r="P314" s="44"/>
      <c r="Q314" s="31"/>
      <c r="R314" s="45"/>
      <c r="S314" s="22"/>
      <c r="T314" s="22"/>
      <c r="U314" s="13"/>
      <c r="V314" s="13"/>
      <c r="W314" s="23"/>
      <c r="X314" s="13"/>
      <c r="Y314" s="13"/>
      <c r="Z314" s="13"/>
      <c r="AA314" s="13"/>
      <c r="AB314" s="13"/>
      <c r="AC314" s="13"/>
      <c r="AD314" s="13"/>
      <c r="AE314" s="13"/>
    </row>
    <row r="315" spans="1:31" ht="20.2" customHeight="1" x14ac:dyDescent="0.3">
      <c r="A315" s="14"/>
      <c r="B315" s="41"/>
      <c r="C315" s="31"/>
      <c r="D315" s="31"/>
      <c r="E315" s="31"/>
      <c r="F315" s="32"/>
      <c r="G315" s="42"/>
      <c r="H315" s="18" t="str">
        <f>IFERROR(VLOOKUP(G315,List2!$B$2:$C$100,2,FALSE), "Kerkali xodim topilmadi")</f>
        <v>Kerkali xodim topilmadi</v>
      </c>
      <c r="I315" s="7" t="str">
        <f>IFERROR(VLOOKUP(G315,List2!$B$2:$D$100,3,FALSE), "Kerkali BO'LIM topilmadi")</f>
        <v>Kerkali BO'LIM topilmadi</v>
      </c>
      <c r="J315" s="31"/>
      <c r="K315" s="43"/>
      <c r="L315" s="31"/>
      <c r="M315" s="31"/>
      <c r="N315" s="31"/>
      <c r="O315" s="31"/>
      <c r="P315" s="44"/>
      <c r="Q315" s="31"/>
      <c r="R315" s="45"/>
      <c r="S315" s="22"/>
      <c r="T315" s="22"/>
      <c r="U315" s="13"/>
      <c r="V315" s="13"/>
      <c r="W315" s="23"/>
      <c r="X315" s="13"/>
      <c r="Y315" s="13"/>
      <c r="Z315" s="13"/>
      <c r="AA315" s="13"/>
      <c r="AB315" s="13"/>
      <c r="AC315" s="13"/>
      <c r="AD315" s="13"/>
      <c r="AE315" s="13"/>
    </row>
    <row r="316" spans="1:31" ht="20.2" customHeight="1" x14ac:dyDescent="0.3">
      <c r="A316" s="14"/>
      <c r="B316" s="41"/>
      <c r="C316" s="31"/>
      <c r="D316" s="31"/>
      <c r="E316" s="31"/>
      <c r="F316" s="32"/>
      <c r="G316" s="42"/>
      <c r="H316" s="18" t="str">
        <f>IFERROR(VLOOKUP(G316,List2!$B$2:$C$100,2,FALSE), "Kerkali xodim topilmadi")</f>
        <v>Kerkali xodim topilmadi</v>
      </c>
      <c r="I316" s="7" t="str">
        <f>IFERROR(VLOOKUP(G316,List2!$B$2:$D$100,3,FALSE), "Kerkali BO'LIM topilmadi")</f>
        <v>Kerkali BO'LIM topilmadi</v>
      </c>
      <c r="J316" s="31"/>
      <c r="K316" s="43"/>
      <c r="L316" s="31"/>
      <c r="M316" s="31"/>
      <c r="N316" s="31"/>
      <c r="O316" s="31"/>
      <c r="P316" s="44"/>
      <c r="Q316" s="31"/>
      <c r="R316" s="45"/>
      <c r="S316" s="22"/>
      <c r="T316" s="22"/>
      <c r="U316" s="13"/>
      <c r="V316" s="13"/>
      <c r="W316" s="23"/>
      <c r="X316" s="13"/>
      <c r="Y316" s="13"/>
      <c r="Z316" s="13"/>
      <c r="AA316" s="13"/>
      <c r="AB316" s="13"/>
      <c r="AC316" s="13"/>
      <c r="AD316" s="13"/>
      <c r="AE316" s="13"/>
    </row>
    <row r="317" spans="1:31" ht="20.2" customHeight="1" x14ac:dyDescent="0.3">
      <c r="A317" s="14"/>
      <c r="B317" s="41"/>
      <c r="C317" s="31"/>
      <c r="D317" s="31"/>
      <c r="E317" s="31"/>
      <c r="F317" s="32"/>
      <c r="G317" s="42"/>
      <c r="H317" s="18" t="str">
        <f>IFERROR(VLOOKUP(G317,List2!$B$2:$C$100,2,FALSE), "Kerkali xodim topilmadi")</f>
        <v>Kerkali xodim topilmadi</v>
      </c>
      <c r="I317" s="7" t="str">
        <f>IFERROR(VLOOKUP(G317,List2!$B$2:$D$100,3,FALSE), "Kerkali BO'LIM topilmadi")</f>
        <v>Kerkali BO'LIM topilmadi</v>
      </c>
      <c r="J317" s="31"/>
      <c r="K317" s="43"/>
      <c r="L317" s="31"/>
      <c r="M317" s="31"/>
      <c r="N317" s="31"/>
      <c r="O317" s="31"/>
      <c r="P317" s="44"/>
      <c r="Q317" s="31"/>
      <c r="R317" s="45"/>
      <c r="S317" s="22"/>
      <c r="T317" s="22"/>
      <c r="U317" s="13"/>
      <c r="V317" s="13"/>
      <c r="W317" s="23"/>
      <c r="X317" s="13"/>
      <c r="Y317" s="13"/>
      <c r="Z317" s="13"/>
      <c r="AA317" s="13"/>
      <c r="AB317" s="13"/>
      <c r="AC317" s="13"/>
      <c r="AD317" s="13"/>
      <c r="AE317" s="13"/>
    </row>
    <row r="318" spans="1:31" ht="20.2" customHeight="1" x14ac:dyDescent="0.3">
      <c r="A318" s="14"/>
      <c r="B318" s="41"/>
      <c r="C318" s="31"/>
      <c r="D318" s="31"/>
      <c r="E318" s="31"/>
      <c r="F318" s="32"/>
      <c r="G318" s="42"/>
      <c r="H318" s="18" t="str">
        <f>IFERROR(VLOOKUP(G318,List2!$B$2:$C$100,2,FALSE), "Kerkali xodim topilmadi")</f>
        <v>Kerkali xodim topilmadi</v>
      </c>
      <c r="I318" s="7" t="str">
        <f>IFERROR(VLOOKUP(G318,List2!$B$2:$D$100,3,FALSE), "Kerkali BO'LIM topilmadi")</f>
        <v>Kerkali BO'LIM topilmadi</v>
      </c>
      <c r="J318" s="31"/>
      <c r="K318" s="43"/>
      <c r="L318" s="31"/>
      <c r="M318" s="31"/>
      <c r="N318" s="31"/>
      <c r="O318" s="31"/>
      <c r="P318" s="44"/>
      <c r="Q318" s="31"/>
      <c r="R318" s="45"/>
      <c r="S318" s="22"/>
      <c r="T318" s="22"/>
      <c r="U318" s="13"/>
      <c r="V318" s="13"/>
      <c r="W318" s="23"/>
      <c r="X318" s="13"/>
      <c r="Y318" s="13"/>
      <c r="Z318" s="13"/>
      <c r="AA318" s="13"/>
      <c r="AB318" s="13"/>
      <c r="AC318" s="13"/>
      <c r="AD318" s="13"/>
      <c r="AE318" s="13"/>
    </row>
    <row r="319" spans="1:31" ht="20.2" customHeight="1" x14ac:dyDescent="0.3">
      <c r="A319" s="14"/>
      <c r="B319" s="41"/>
      <c r="C319" s="31"/>
      <c r="D319" s="31"/>
      <c r="E319" s="31"/>
      <c r="F319" s="32"/>
      <c r="G319" s="42"/>
      <c r="H319" s="18" t="str">
        <f>IFERROR(VLOOKUP(G319,List2!$B$2:$C$100,2,FALSE), "Kerkali xodim topilmadi")</f>
        <v>Kerkali xodim topilmadi</v>
      </c>
      <c r="I319" s="7" t="str">
        <f>IFERROR(VLOOKUP(G319,List2!$B$2:$D$100,3,FALSE), "Kerkali BO'LIM topilmadi")</f>
        <v>Kerkali BO'LIM topilmadi</v>
      </c>
      <c r="J319" s="31"/>
      <c r="K319" s="43"/>
      <c r="L319" s="31"/>
      <c r="M319" s="31"/>
      <c r="N319" s="31"/>
      <c r="O319" s="31"/>
      <c r="P319" s="44"/>
      <c r="Q319" s="31"/>
      <c r="R319" s="45"/>
      <c r="S319" s="22"/>
      <c r="T319" s="22"/>
      <c r="U319" s="13"/>
      <c r="V319" s="13"/>
      <c r="W319" s="23"/>
      <c r="X319" s="13"/>
      <c r="Y319" s="13"/>
      <c r="Z319" s="13"/>
      <c r="AA319" s="13"/>
      <c r="AB319" s="13"/>
      <c r="AC319" s="13"/>
      <c r="AD319" s="13"/>
      <c r="AE319" s="13"/>
    </row>
    <row r="320" spans="1:31" ht="20.2" customHeight="1" x14ac:dyDescent="0.3">
      <c r="A320" s="14"/>
      <c r="B320" s="41"/>
      <c r="C320" s="31"/>
      <c r="D320" s="31"/>
      <c r="E320" s="31"/>
      <c r="F320" s="32"/>
      <c r="G320" s="42"/>
      <c r="H320" s="18" t="str">
        <f>IFERROR(VLOOKUP(G320,List2!$B$2:$C$100,2,FALSE), "Kerkali xodim topilmadi")</f>
        <v>Kerkali xodim topilmadi</v>
      </c>
      <c r="I320" s="7" t="str">
        <f>IFERROR(VLOOKUP(G320,List2!$B$2:$D$100,3,FALSE), "Kerkali BO'LIM topilmadi")</f>
        <v>Kerkali BO'LIM topilmadi</v>
      </c>
      <c r="J320" s="31"/>
      <c r="K320" s="43"/>
      <c r="L320" s="31"/>
      <c r="M320" s="31"/>
      <c r="N320" s="31"/>
      <c r="O320" s="31"/>
      <c r="P320" s="44"/>
      <c r="Q320" s="31"/>
      <c r="R320" s="45"/>
      <c r="S320" s="22"/>
      <c r="T320" s="22"/>
      <c r="U320" s="13"/>
      <c r="V320" s="13"/>
      <c r="W320" s="23"/>
      <c r="X320" s="13"/>
      <c r="Y320" s="13"/>
      <c r="Z320" s="13"/>
      <c r="AA320" s="13"/>
      <c r="AB320" s="13"/>
      <c r="AC320" s="13"/>
      <c r="AD320" s="13"/>
      <c r="AE320" s="13"/>
    </row>
    <row r="321" spans="1:31" ht="20.2" customHeight="1" x14ac:dyDescent="0.3">
      <c r="A321" s="14"/>
      <c r="B321" s="41"/>
      <c r="C321" s="31"/>
      <c r="D321" s="31"/>
      <c r="E321" s="31"/>
      <c r="F321" s="32"/>
      <c r="G321" s="42"/>
      <c r="H321" s="18" t="str">
        <f>IFERROR(VLOOKUP(G321,List2!$B$2:$C$100,2,FALSE), "Kerkali xodim topilmadi")</f>
        <v>Kerkali xodim topilmadi</v>
      </c>
      <c r="I321" s="7" t="str">
        <f>IFERROR(VLOOKUP(G321,List2!$B$2:$D$100,3,FALSE), "Kerkali BO'LIM topilmadi")</f>
        <v>Kerkali BO'LIM topilmadi</v>
      </c>
      <c r="J321" s="31"/>
      <c r="K321" s="43"/>
      <c r="L321" s="31"/>
      <c r="M321" s="31"/>
      <c r="N321" s="31"/>
      <c r="O321" s="31"/>
      <c r="P321" s="44"/>
      <c r="Q321" s="31"/>
      <c r="R321" s="45"/>
      <c r="S321" s="22"/>
      <c r="T321" s="22"/>
      <c r="U321" s="13"/>
      <c r="V321" s="13"/>
      <c r="W321" s="23"/>
      <c r="X321" s="13"/>
      <c r="Y321" s="13"/>
      <c r="Z321" s="13"/>
      <c r="AA321" s="13"/>
      <c r="AB321" s="13"/>
      <c r="AC321" s="13"/>
      <c r="AD321" s="13"/>
      <c r="AE321" s="13"/>
    </row>
    <row r="322" spans="1:31" ht="20.2" customHeight="1" x14ac:dyDescent="0.3">
      <c r="A322" s="14"/>
      <c r="B322" s="41"/>
      <c r="C322" s="31"/>
      <c r="D322" s="31"/>
      <c r="E322" s="31"/>
      <c r="F322" s="32"/>
      <c r="G322" s="42"/>
      <c r="H322" s="18" t="str">
        <f>IFERROR(VLOOKUP(G322,List2!$B$2:$C$100,2,FALSE), "Kerkali xodim topilmadi")</f>
        <v>Kerkali xodim topilmadi</v>
      </c>
      <c r="I322" s="7" t="str">
        <f>IFERROR(VLOOKUP(G322,List2!$B$2:$D$100,3,FALSE), "Kerkali BO'LIM topilmadi")</f>
        <v>Kerkali BO'LIM topilmadi</v>
      </c>
      <c r="J322" s="31"/>
      <c r="K322" s="43"/>
      <c r="L322" s="31"/>
      <c r="M322" s="31"/>
      <c r="N322" s="31"/>
      <c r="O322" s="31"/>
      <c r="P322" s="44"/>
      <c r="Q322" s="31"/>
      <c r="R322" s="45"/>
      <c r="S322" s="22"/>
      <c r="T322" s="22"/>
      <c r="U322" s="13"/>
      <c r="V322" s="13"/>
      <c r="W322" s="23"/>
      <c r="X322" s="13"/>
      <c r="Y322" s="13"/>
      <c r="Z322" s="13"/>
      <c r="AA322" s="13"/>
      <c r="AB322" s="13"/>
      <c r="AC322" s="13"/>
      <c r="AD322" s="13"/>
      <c r="AE322" s="13"/>
    </row>
    <row r="323" spans="1:31" ht="20.2" customHeight="1" x14ac:dyDescent="0.3">
      <c r="A323" s="14"/>
      <c r="B323" s="41"/>
      <c r="C323" s="31"/>
      <c r="D323" s="31"/>
      <c r="E323" s="31"/>
      <c r="F323" s="32"/>
      <c r="G323" s="42"/>
      <c r="H323" s="18" t="str">
        <f>IFERROR(VLOOKUP(G323,List2!$B$2:$C$100,2,FALSE), "Kerkali xodim topilmadi")</f>
        <v>Kerkali xodim topilmadi</v>
      </c>
      <c r="I323" s="7" t="str">
        <f>IFERROR(VLOOKUP(G323,List2!$B$2:$D$100,3,FALSE), "Kerkali BO'LIM topilmadi")</f>
        <v>Kerkali BO'LIM topilmadi</v>
      </c>
      <c r="J323" s="31"/>
      <c r="K323" s="43"/>
      <c r="L323" s="31"/>
      <c r="M323" s="31"/>
      <c r="N323" s="31"/>
      <c r="O323" s="31"/>
      <c r="P323" s="44"/>
      <c r="Q323" s="31"/>
      <c r="R323" s="45"/>
      <c r="S323" s="22"/>
      <c r="T323" s="22"/>
      <c r="U323" s="13"/>
      <c r="V323" s="13"/>
      <c r="W323" s="23"/>
      <c r="X323" s="13"/>
      <c r="Y323" s="13"/>
      <c r="Z323" s="13"/>
      <c r="AA323" s="13"/>
      <c r="AB323" s="13"/>
      <c r="AC323" s="13"/>
      <c r="AD323" s="13"/>
      <c r="AE323" s="13"/>
    </row>
    <row r="324" spans="1:31" ht="20.2" customHeight="1" x14ac:dyDescent="0.3">
      <c r="A324" s="14"/>
      <c r="B324" s="41"/>
      <c r="C324" s="31"/>
      <c r="D324" s="31"/>
      <c r="E324" s="31"/>
      <c r="F324" s="32"/>
      <c r="G324" s="42"/>
      <c r="H324" s="18" t="str">
        <f>IFERROR(VLOOKUP(G324,List2!$B$2:$C$100,2,FALSE), "Kerkali xodim topilmadi")</f>
        <v>Kerkali xodim topilmadi</v>
      </c>
      <c r="I324" s="7" t="str">
        <f>IFERROR(VLOOKUP(G324,List2!$B$2:$D$100,3,FALSE), "Kerkali BO'LIM topilmadi")</f>
        <v>Kerkali BO'LIM topilmadi</v>
      </c>
      <c r="J324" s="31"/>
      <c r="K324" s="43"/>
      <c r="L324" s="31"/>
      <c r="M324" s="31"/>
      <c r="N324" s="31"/>
      <c r="O324" s="31"/>
      <c r="P324" s="44"/>
      <c r="Q324" s="31"/>
      <c r="R324" s="45"/>
      <c r="S324" s="22"/>
      <c r="T324" s="22"/>
      <c r="U324" s="13"/>
      <c r="V324" s="13"/>
      <c r="W324" s="23"/>
      <c r="X324" s="13"/>
      <c r="Y324" s="13"/>
      <c r="Z324" s="13"/>
      <c r="AA324" s="13"/>
      <c r="AB324" s="13"/>
      <c r="AC324" s="13"/>
      <c r="AD324" s="13"/>
      <c r="AE324" s="13"/>
    </row>
    <row r="325" spans="1:31" ht="20.2" customHeight="1" x14ac:dyDescent="0.3">
      <c r="A325" s="14"/>
      <c r="B325" s="41"/>
      <c r="C325" s="31"/>
      <c r="D325" s="31"/>
      <c r="E325" s="31"/>
      <c r="F325" s="32"/>
      <c r="G325" s="42"/>
      <c r="H325" s="18" t="str">
        <f>IFERROR(VLOOKUP(G325,List2!$B$2:$C$100,2,FALSE), "Kerkali xodim topilmadi")</f>
        <v>Kerkali xodim topilmadi</v>
      </c>
      <c r="I325" s="7" t="str">
        <f>IFERROR(VLOOKUP(G325,List2!$B$2:$D$100,3,FALSE), "Kerkali BO'LIM topilmadi")</f>
        <v>Kerkali BO'LIM topilmadi</v>
      </c>
      <c r="J325" s="31"/>
      <c r="K325" s="43"/>
      <c r="L325" s="31"/>
      <c r="M325" s="31"/>
      <c r="N325" s="31"/>
      <c r="O325" s="31"/>
      <c r="P325" s="44"/>
      <c r="Q325" s="31"/>
      <c r="R325" s="45"/>
      <c r="S325" s="22"/>
      <c r="T325" s="22"/>
      <c r="U325" s="13"/>
      <c r="V325" s="13"/>
      <c r="W325" s="23"/>
      <c r="X325" s="13"/>
      <c r="Y325" s="13"/>
      <c r="Z325" s="13"/>
      <c r="AA325" s="13"/>
      <c r="AB325" s="13"/>
      <c r="AC325" s="13"/>
      <c r="AD325" s="13"/>
      <c r="AE325" s="13"/>
    </row>
    <row r="326" spans="1:31" ht="20.2" customHeight="1" x14ac:dyDescent="0.3">
      <c r="A326" s="14"/>
      <c r="B326" s="41"/>
      <c r="C326" s="31"/>
      <c r="D326" s="31"/>
      <c r="E326" s="31"/>
      <c r="F326" s="32"/>
      <c r="G326" s="42"/>
      <c r="H326" s="18" t="str">
        <f>IFERROR(VLOOKUP(G326,List2!$B$2:$C$100,2,FALSE), "Kerkali xodim topilmadi")</f>
        <v>Kerkali xodim topilmadi</v>
      </c>
      <c r="I326" s="7" t="str">
        <f>IFERROR(VLOOKUP(G326,List2!$B$2:$D$100,3,FALSE), "Kerkali BO'LIM topilmadi")</f>
        <v>Kerkali BO'LIM topilmadi</v>
      </c>
      <c r="J326" s="31"/>
      <c r="K326" s="43"/>
      <c r="L326" s="31"/>
      <c r="M326" s="31"/>
      <c r="N326" s="31"/>
      <c r="O326" s="31"/>
      <c r="P326" s="44"/>
      <c r="Q326" s="31"/>
      <c r="R326" s="45"/>
      <c r="S326" s="22"/>
      <c r="T326" s="22"/>
      <c r="U326" s="13"/>
      <c r="V326" s="13"/>
      <c r="W326" s="23"/>
      <c r="X326" s="13"/>
      <c r="Y326" s="13"/>
      <c r="Z326" s="13"/>
      <c r="AA326" s="13"/>
      <c r="AB326" s="13"/>
      <c r="AC326" s="13"/>
      <c r="AD326" s="13"/>
      <c r="AE326" s="13"/>
    </row>
    <row r="327" spans="1:31" ht="20.2" customHeight="1" x14ac:dyDescent="0.3">
      <c r="A327" s="14"/>
      <c r="B327" s="41"/>
      <c r="C327" s="31"/>
      <c r="D327" s="31"/>
      <c r="E327" s="31"/>
      <c r="F327" s="32"/>
      <c r="G327" s="42"/>
      <c r="H327" s="18" t="str">
        <f>IFERROR(VLOOKUP(G327,List2!$B$2:$C$100,2,FALSE), "Kerkali xodim topilmadi")</f>
        <v>Kerkali xodim topilmadi</v>
      </c>
      <c r="I327" s="7" t="str">
        <f>IFERROR(VLOOKUP(G327,List2!$B$2:$D$100,3,FALSE), "Kerkali BO'LIM topilmadi")</f>
        <v>Kerkali BO'LIM topilmadi</v>
      </c>
      <c r="J327" s="31"/>
      <c r="K327" s="43"/>
      <c r="L327" s="31"/>
      <c r="M327" s="31"/>
      <c r="N327" s="31"/>
      <c r="O327" s="31"/>
      <c r="P327" s="44"/>
      <c r="Q327" s="31"/>
      <c r="R327" s="45"/>
      <c r="S327" s="22"/>
      <c r="T327" s="22"/>
      <c r="U327" s="13"/>
      <c r="V327" s="13"/>
      <c r="W327" s="23"/>
      <c r="X327" s="13"/>
      <c r="Y327" s="13"/>
      <c r="Z327" s="13"/>
      <c r="AA327" s="13"/>
      <c r="AB327" s="13"/>
      <c r="AC327" s="13"/>
      <c r="AD327" s="13"/>
      <c r="AE327" s="13"/>
    </row>
    <row r="328" spans="1:31" ht="20.2" customHeight="1" x14ac:dyDescent="0.3">
      <c r="A328" s="14"/>
      <c r="B328" s="41"/>
      <c r="C328" s="31"/>
      <c r="D328" s="31"/>
      <c r="E328" s="31"/>
      <c r="F328" s="32"/>
      <c r="G328" s="42"/>
      <c r="H328" s="18" t="str">
        <f>IFERROR(VLOOKUP(G328,List2!$B$2:$C$100,2,FALSE), "Kerkali xodim topilmadi")</f>
        <v>Kerkali xodim topilmadi</v>
      </c>
      <c r="I328" s="7" t="str">
        <f>IFERROR(VLOOKUP(G328,List2!$B$2:$D$100,3,FALSE), "Kerkali BO'LIM topilmadi")</f>
        <v>Kerkali BO'LIM topilmadi</v>
      </c>
      <c r="J328" s="31"/>
      <c r="K328" s="43"/>
      <c r="L328" s="31"/>
      <c r="M328" s="31"/>
      <c r="N328" s="31"/>
      <c r="O328" s="31"/>
      <c r="P328" s="44"/>
      <c r="Q328" s="31"/>
      <c r="R328" s="45"/>
      <c r="S328" s="22"/>
      <c r="T328" s="22"/>
      <c r="U328" s="13"/>
      <c r="V328" s="13"/>
      <c r="W328" s="23"/>
      <c r="X328" s="13"/>
      <c r="Y328" s="13"/>
      <c r="Z328" s="13"/>
      <c r="AA328" s="13"/>
      <c r="AB328" s="13"/>
      <c r="AC328" s="13"/>
      <c r="AD328" s="13"/>
      <c r="AE328" s="13"/>
    </row>
    <row r="329" spans="1:31" ht="20.2" customHeight="1" x14ac:dyDescent="0.3">
      <c r="A329" s="14"/>
      <c r="B329" s="41"/>
      <c r="C329" s="31"/>
      <c r="D329" s="31"/>
      <c r="E329" s="31"/>
      <c r="F329" s="32"/>
      <c r="G329" s="42"/>
      <c r="H329" s="18" t="str">
        <f>IFERROR(VLOOKUP(G329,List2!$B$2:$C$100,2,FALSE), "Kerkali xodim topilmadi")</f>
        <v>Kerkali xodim topilmadi</v>
      </c>
      <c r="I329" s="7" t="str">
        <f>IFERROR(VLOOKUP(G329,List2!$B$2:$D$100,3,FALSE), "Kerkali BO'LIM topilmadi")</f>
        <v>Kerkali BO'LIM topilmadi</v>
      </c>
      <c r="J329" s="31"/>
      <c r="K329" s="43"/>
      <c r="L329" s="31"/>
      <c r="M329" s="31"/>
      <c r="N329" s="31"/>
      <c r="O329" s="31"/>
      <c r="P329" s="44"/>
      <c r="Q329" s="31"/>
      <c r="R329" s="45"/>
      <c r="S329" s="22"/>
      <c r="T329" s="22"/>
      <c r="U329" s="13"/>
      <c r="V329" s="13"/>
      <c r="W329" s="23"/>
      <c r="X329" s="13"/>
      <c r="Y329" s="13"/>
      <c r="Z329" s="13"/>
      <c r="AA329" s="13"/>
      <c r="AB329" s="13"/>
      <c r="AC329" s="13"/>
      <c r="AD329" s="13"/>
      <c r="AE329" s="13"/>
    </row>
    <row r="330" spans="1:31" ht="20.2" customHeight="1" x14ac:dyDescent="0.3">
      <c r="A330" s="14"/>
      <c r="B330" s="41"/>
      <c r="C330" s="31"/>
      <c r="D330" s="31"/>
      <c r="E330" s="31"/>
      <c r="F330" s="32"/>
      <c r="G330" s="42"/>
      <c r="H330" s="18" t="str">
        <f>IFERROR(VLOOKUP(G330,List2!$B$2:$C$100,2,FALSE), "Kerkali xodim topilmadi")</f>
        <v>Kerkali xodim topilmadi</v>
      </c>
      <c r="I330" s="7" t="str">
        <f>IFERROR(VLOOKUP(G330,List2!$B$2:$D$100,3,FALSE), "Kerkali BO'LIM topilmadi")</f>
        <v>Kerkali BO'LIM topilmadi</v>
      </c>
      <c r="J330" s="31"/>
      <c r="K330" s="43"/>
      <c r="L330" s="31"/>
      <c r="M330" s="31"/>
      <c r="N330" s="31"/>
      <c r="O330" s="31"/>
      <c r="P330" s="44"/>
      <c r="Q330" s="31"/>
      <c r="R330" s="45"/>
      <c r="S330" s="22"/>
      <c r="T330" s="22"/>
      <c r="U330" s="13"/>
      <c r="V330" s="13"/>
      <c r="W330" s="23"/>
      <c r="X330" s="13"/>
      <c r="Y330" s="13"/>
      <c r="Z330" s="13"/>
      <c r="AA330" s="13"/>
      <c r="AB330" s="13"/>
      <c r="AC330" s="13"/>
      <c r="AD330" s="13"/>
      <c r="AE330" s="13"/>
    </row>
    <row r="331" spans="1:31" ht="20.2" customHeight="1" x14ac:dyDescent="0.3">
      <c r="A331" s="14"/>
      <c r="B331" s="41"/>
      <c r="C331" s="31"/>
      <c r="D331" s="31"/>
      <c r="E331" s="31"/>
      <c r="F331" s="32"/>
      <c r="G331" s="42"/>
      <c r="H331" s="18" t="str">
        <f>IFERROR(VLOOKUP(G331,List2!$B$2:$C$100,2,FALSE), "Kerkali xodim topilmadi")</f>
        <v>Kerkali xodim topilmadi</v>
      </c>
      <c r="I331" s="7" t="str">
        <f>IFERROR(VLOOKUP(G331,List2!$B$2:$D$100,3,FALSE), "Kerkali BO'LIM topilmadi")</f>
        <v>Kerkali BO'LIM topilmadi</v>
      </c>
      <c r="J331" s="31"/>
      <c r="K331" s="43"/>
      <c r="L331" s="31"/>
      <c r="M331" s="31"/>
      <c r="N331" s="31"/>
      <c r="O331" s="31"/>
      <c r="P331" s="44"/>
      <c r="Q331" s="31"/>
      <c r="R331" s="45"/>
      <c r="S331" s="22"/>
      <c r="T331" s="22"/>
      <c r="U331" s="13"/>
      <c r="V331" s="13"/>
      <c r="W331" s="23"/>
      <c r="X331" s="13"/>
      <c r="Y331" s="13"/>
      <c r="Z331" s="13"/>
      <c r="AA331" s="13"/>
      <c r="AB331" s="13"/>
      <c r="AC331" s="13"/>
      <c r="AD331" s="13"/>
      <c r="AE331" s="13"/>
    </row>
    <row r="332" spans="1:31" ht="20.2" customHeight="1" x14ac:dyDescent="0.3">
      <c r="A332" s="14"/>
      <c r="B332" s="41"/>
      <c r="C332" s="31"/>
      <c r="D332" s="31"/>
      <c r="E332" s="31"/>
      <c r="F332" s="32"/>
      <c r="G332" s="42"/>
      <c r="H332" s="18" t="str">
        <f>IFERROR(VLOOKUP(G332,List2!$B$2:$C$100,2,FALSE), "Kerkali xodim topilmadi")</f>
        <v>Kerkali xodim topilmadi</v>
      </c>
      <c r="I332" s="7" t="str">
        <f>IFERROR(VLOOKUP(G332,List2!$B$2:$D$100,3,FALSE), "Kerkali BO'LIM topilmadi")</f>
        <v>Kerkali BO'LIM topilmadi</v>
      </c>
      <c r="J332" s="31"/>
      <c r="K332" s="43"/>
      <c r="L332" s="31"/>
      <c r="M332" s="31"/>
      <c r="N332" s="31"/>
      <c r="O332" s="31"/>
      <c r="P332" s="44"/>
      <c r="Q332" s="31"/>
      <c r="R332" s="45"/>
      <c r="S332" s="22"/>
      <c r="T332" s="22"/>
      <c r="U332" s="13"/>
      <c r="V332" s="13"/>
      <c r="W332" s="23"/>
      <c r="X332" s="13"/>
      <c r="Y332" s="13"/>
      <c r="Z332" s="13"/>
      <c r="AA332" s="13"/>
      <c r="AB332" s="13"/>
      <c r="AC332" s="13"/>
      <c r="AD332" s="13"/>
      <c r="AE332" s="13"/>
    </row>
    <row r="333" spans="1:31" ht="20.2" customHeight="1" x14ac:dyDescent="0.3">
      <c r="A333" s="14"/>
      <c r="B333" s="41"/>
      <c r="C333" s="31"/>
      <c r="D333" s="31"/>
      <c r="E333" s="31"/>
      <c r="F333" s="32"/>
      <c r="G333" s="42"/>
      <c r="H333" s="18" t="str">
        <f>IFERROR(VLOOKUP(G333,List2!$B$2:$C$100,2,FALSE), "Kerkali xodim topilmadi")</f>
        <v>Kerkali xodim topilmadi</v>
      </c>
      <c r="I333" s="7" t="str">
        <f>IFERROR(VLOOKUP(G333,List2!$B$2:$D$100,3,FALSE), "Kerkali BO'LIM topilmadi")</f>
        <v>Kerkali BO'LIM topilmadi</v>
      </c>
      <c r="J333" s="31"/>
      <c r="K333" s="43"/>
      <c r="L333" s="31"/>
      <c r="M333" s="31"/>
      <c r="N333" s="31"/>
      <c r="O333" s="31"/>
      <c r="P333" s="44"/>
      <c r="Q333" s="31"/>
      <c r="R333" s="45"/>
      <c r="S333" s="22"/>
      <c r="T333" s="22"/>
      <c r="U333" s="13"/>
      <c r="V333" s="13"/>
      <c r="W333" s="23"/>
      <c r="X333" s="13"/>
      <c r="Y333" s="13"/>
      <c r="Z333" s="13"/>
      <c r="AA333" s="13"/>
      <c r="AB333" s="13"/>
      <c r="AC333" s="13"/>
      <c r="AD333" s="13"/>
      <c r="AE333" s="13"/>
    </row>
    <row r="334" spans="1:31" ht="20.2" customHeight="1" x14ac:dyDescent="0.3">
      <c r="A334" s="14"/>
      <c r="B334" s="41"/>
      <c r="C334" s="31"/>
      <c r="D334" s="31"/>
      <c r="E334" s="31"/>
      <c r="F334" s="32"/>
      <c r="G334" s="42"/>
      <c r="H334" s="18" t="str">
        <f>IFERROR(VLOOKUP(G334,List2!$B$2:$C$100,2,FALSE), "Kerkali xodim topilmadi")</f>
        <v>Kerkali xodim topilmadi</v>
      </c>
      <c r="I334" s="7" t="str">
        <f>IFERROR(VLOOKUP(G334,List2!$B$2:$D$100,3,FALSE), "Kerkali BO'LIM topilmadi")</f>
        <v>Kerkali BO'LIM topilmadi</v>
      </c>
      <c r="J334" s="31"/>
      <c r="K334" s="43"/>
      <c r="L334" s="31"/>
      <c r="M334" s="31"/>
      <c r="N334" s="31"/>
      <c r="O334" s="31"/>
      <c r="P334" s="44"/>
      <c r="Q334" s="31"/>
      <c r="R334" s="45"/>
      <c r="S334" s="22"/>
      <c r="T334" s="22"/>
      <c r="U334" s="13"/>
      <c r="V334" s="13"/>
      <c r="W334" s="23"/>
      <c r="X334" s="13"/>
      <c r="Y334" s="13"/>
      <c r="Z334" s="13"/>
      <c r="AA334" s="13"/>
      <c r="AB334" s="13"/>
      <c r="AC334" s="13"/>
      <c r="AD334" s="13"/>
      <c r="AE334" s="13"/>
    </row>
    <row r="335" spans="1:31" ht="20.2" customHeight="1" x14ac:dyDescent="0.3">
      <c r="A335" s="14"/>
      <c r="B335" s="41"/>
      <c r="C335" s="31"/>
      <c r="D335" s="31"/>
      <c r="E335" s="31"/>
      <c r="F335" s="32"/>
      <c r="G335" s="42"/>
      <c r="H335" s="18" t="str">
        <f>IFERROR(VLOOKUP(G335,List2!$B$2:$C$100,2,FALSE), "Kerkali xodim topilmadi")</f>
        <v>Kerkali xodim topilmadi</v>
      </c>
      <c r="I335" s="7" t="str">
        <f>IFERROR(VLOOKUP(G335,List2!$B$2:$D$100,3,FALSE), "Kerkali BO'LIM topilmadi")</f>
        <v>Kerkali BO'LIM topilmadi</v>
      </c>
      <c r="J335" s="31"/>
      <c r="K335" s="43"/>
      <c r="L335" s="31"/>
      <c r="M335" s="31"/>
      <c r="N335" s="31"/>
      <c r="O335" s="31"/>
      <c r="P335" s="44"/>
      <c r="Q335" s="31"/>
      <c r="R335" s="45"/>
      <c r="S335" s="22"/>
      <c r="T335" s="22"/>
      <c r="U335" s="13"/>
      <c r="V335" s="13"/>
      <c r="W335" s="23"/>
      <c r="X335" s="13"/>
      <c r="Y335" s="13"/>
      <c r="Z335" s="13"/>
      <c r="AA335" s="13"/>
      <c r="AB335" s="13"/>
      <c r="AC335" s="13"/>
      <c r="AD335" s="13"/>
      <c r="AE335" s="13"/>
    </row>
    <row r="336" spans="1:31" ht="20.2" customHeight="1" x14ac:dyDescent="0.3">
      <c r="A336" s="14"/>
      <c r="B336" s="41"/>
      <c r="C336" s="31"/>
      <c r="D336" s="31"/>
      <c r="E336" s="31"/>
      <c r="F336" s="32"/>
      <c r="G336" s="42"/>
      <c r="H336" s="18" t="str">
        <f>IFERROR(VLOOKUP(G336,List2!$B$2:$C$100,2,FALSE), "Kerkali xodim topilmadi")</f>
        <v>Kerkali xodim topilmadi</v>
      </c>
      <c r="I336" s="7" t="str">
        <f>IFERROR(VLOOKUP(G336,List2!$B$2:$D$100,3,FALSE), "Kerkali BO'LIM topilmadi")</f>
        <v>Kerkali BO'LIM topilmadi</v>
      </c>
      <c r="J336" s="31"/>
      <c r="K336" s="43"/>
      <c r="L336" s="31"/>
      <c r="M336" s="31"/>
      <c r="N336" s="31"/>
      <c r="O336" s="31"/>
      <c r="P336" s="44"/>
      <c r="Q336" s="31"/>
      <c r="R336" s="45"/>
      <c r="S336" s="22"/>
      <c r="T336" s="22"/>
      <c r="U336" s="13"/>
      <c r="V336" s="13"/>
      <c r="W336" s="23"/>
      <c r="X336" s="13"/>
      <c r="Y336" s="13"/>
      <c r="Z336" s="13"/>
      <c r="AA336" s="13"/>
      <c r="AB336" s="13"/>
      <c r="AC336" s="13"/>
      <c r="AD336" s="13"/>
      <c r="AE336" s="13"/>
    </row>
    <row r="337" spans="1:31" ht="20.2" customHeight="1" x14ac:dyDescent="0.3">
      <c r="A337" s="14"/>
      <c r="B337" s="41"/>
      <c r="C337" s="31"/>
      <c r="D337" s="31"/>
      <c r="E337" s="31"/>
      <c r="F337" s="32"/>
      <c r="G337" s="42"/>
      <c r="H337" s="18" t="str">
        <f>IFERROR(VLOOKUP(G337,List2!$B$2:$C$100,2,FALSE), "Kerkali xodim topilmadi")</f>
        <v>Kerkali xodim topilmadi</v>
      </c>
      <c r="I337" s="7" t="str">
        <f>IFERROR(VLOOKUP(G337,List2!$B$2:$D$100,3,FALSE), "Kerkali BO'LIM topilmadi")</f>
        <v>Kerkali BO'LIM topilmadi</v>
      </c>
      <c r="J337" s="31"/>
      <c r="K337" s="43"/>
      <c r="L337" s="31"/>
      <c r="M337" s="31"/>
      <c r="N337" s="31"/>
      <c r="O337" s="31"/>
      <c r="P337" s="44"/>
      <c r="Q337" s="31"/>
      <c r="R337" s="45"/>
      <c r="S337" s="22"/>
      <c r="T337" s="22"/>
      <c r="U337" s="13"/>
      <c r="V337" s="13"/>
      <c r="W337" s="23"/>
      <c r="X337" s="13"/>
      <c r="Y337" s="13"/>
      <c r="Z337" s="13"/>
      <c r="AA337" s="13"/>
      <c r="AB337" s="13"/>
      <c r="AC337" s="13"/>
      <c r="AD337" s="13"/>
      <c r="AE337" s="13"/>
    </row>
    <row r="338" spans="1:31" ht="20.2" customHeight="1" x14ac:dyDescent="0.3">
      <c r="A338" s="14"/>
      <c r="B338" s="41"/>
      <c r="C338" s="31"/>
      <c r="D338" s="31"/>
      <c r="E338" s="31"/>
      <c r="F338" s="32"/>
      <c r="G338" s="42"/>
      <c r="H338" s="18" t="str">
        <f>IFERROR(VLOOKUP(G338,List2!$B$2:$C$100,2,FALSE), "Kerkali xodim topilmadi")</f>
        <v>Kerkali xodim topilmadi</v>
      </c>
      <c r="I338" s="7" t="str">
        <f>IFERROR(VLOOKUP(G338,List2!$B$2:$D$100,3,FALSE), "Kerkali BO'LIM topilmadi")</f>
        <v>Kerkali BO'LIM topilmadi</v>
      </c>
      <c r="J338" s="31"/>
      <c r="K338" s="43"/>
      <c r="L338" s="31"/>
      <c r="M338" s="31"/>
      <c r="N338" s="31"/>
      <c r="O338" s="31"/>
      <c r="P338" s="44"/>
      <c r="Q338" s="31"/>
      <c r="R338" s="45"/>
      <c r="S338" s="22"/>
      <c r="T338" s="22"/>
      <c r="U338" s="13"/>
      <c r="V338" s="13"/>
      <c r="W338" s="23"/>
      <c r="X338" s="13"/>
      <c r="Y338" s="13"/>
      <c r="Z338" s="13"/>
      <c r="AA338" s="13"/>
      <c r="AB338" s="13"/>
      <c r="AC338" s="13"/>
      <c r="AD338" s="13"/>
      <c r="AE338" s="13"/>
    </row>
    <row r="339" spans="1:31" ht="20.2" customHeight="1" x14ac:dyDescent="0.3">
      <c r="A339" s="14"/>
      <c r="B339" s="41"/>
      <c r="C339" s="31"/>
      <c r="D339" s="31"/>
      <c r="E339" s="31"/>
      <c r="F339" s="32"/>
      <c r="G339" s="42"/>
      <c r="H339" s="18" t="str">
        <f>IFERROR(VLOOKUP(G339,List2!$B$2:$C$100,2,FALSE), "Kerkali xodim topilmadi")</f>
        <v>Kerkali xodim topilmadi</v>
      </c>
      <c r="I339" s="7" t="str">
        <f>IFERROR(VLOOKUP(G339,List2!$B$2:$D$100,3,FALSE), "Kerkali BO'LIM topilmadi")</f>
        <v>Kerkali BO'LIM topilmadi</v>
      </c>
      <c r="J339" s="31"/>
      <c r="K339" s="43"/>
      <c r="L339" s="31"/>
      <c r="M339" s="31"/>
      <c r="N339" s="31"/>
      <c r="O339" s="31"/>
      <c r="P339" s="44"/>
      <c r="Q339" s="31"/>
      <c r="R339" s="45"/>
      <c r="S339" s="22"/>
      <c r="T339" s="22"/>
      <c r="U339" s="13"/>
      <c r="V339" s="13"/>
      <c r="W339" s="23"/>
      <c r="X339" s="13"/>
      <c r="Y339" s="13"/>
      <c r="Z339" s="13"/>
      <c r="AA339" s="13"/>
      <c r="AB339" s="13"/>
      <c r="AC339" s="13"/>
      <c r="AD339" s="13"/>
      <c r="AE339" s="13"/>
    </row>
    <row r="340" spans="1:31" ht="20.2" customHeight="1" x14ac:dyDescent="0.3">
      <c r="A340" s="14"/>
      <c r="B340" s="41"/>
      <c r="C340" s="31"/>
      <c r="D340" s="31"/>
      <c r="E340" s="31"/>
      <c r="F340" s="32"/>
      <c r="G340" s="42"/>
      <c r="H340" s="18" t="str">
        <f>IFERROR(VLOOKUP(G340,List2!$B$2:$C$100,2,FALSE), "Kerkali xodim topilmadi")</f>
        <v>Kerkali xodim topilmadi</v>
      </c>
      <c r="I340" s="7" t="str">
        <f>IFERROR(VLOOKUP(G340,List2!$B$2:$D$100,3,FALSE), "Kerkali BO'LIM topilmadi")</f>
        <v>Kerkali BO'LIM topilmadi</v>
      </c>
      <c r="J340" s="31"/>
      <c r="K340" s="43"/>
      <c r="L340" s="31"/>
      <c r="M340" s="31"/>
      <c r="N340" s="31"/>
      <c r="O340" s="31"/>
      <c r="P340" s="44"/>
      <c r="Q340" s="31"/>
      <c r="R340" s="45"/>
      <c r="S340" s="22"/>
      <c r="T340" s="22"/>
      <c r="U340" s="13"/>
      <c r="V340" s="13"/>
      <c r="W340" s="23"/>
      <c r="X340" s="13"/>
      <c r="Y340" s="13"/>
      <c r="Z340" s="13"/>
      <c r="AA340" s="13"/>
      <c r="AB340" s="13"/>
      <c r="AC340" s="13"/>
      <c r="AD340" s="13"/>
      <c r="AE340" s="13"/>
    </row>
    <row r="341" spans="1:31" ht="20.2" customHeight="1" x14ac:dyDescent="0.3">
      <c r="A341" s="14"/>
      <c r="B341" s="41"/>
      <c r="C341" s="31"/>
      <c r="D341" s="31"/>
      <c r="E341" s="31"/>
      <c r="F341" s="32"/>
      <c r="G341" s="42"/>
      <c r="H341" s="18" t="str">
        <f>IFERROR(VLOOKUP(G341,List2!$B$2:$C$100,2,FALSE), "Kerkali xodim topilmadi")</f>
        <v>Kerkali xodim topilmadi</v>
      </c>
      <c r="I341" s="7" t="str">
        <f>IFERROR(VLOOKUP(G341,List2!$B$2:$D$100,3,FALSE), "Kerkali BO'LIM topilmadi")</f>
        <v>Kerkali BO'LIM topilmadi</v>
      </c>
      <c r="J341" s="31"/>
      <c r="K341" s="43"/>
      <c r="L341" s="31"/>
      <c r="M341" s="31"/>
      <c r="N341" s="31"/>
      <c r="O341" s="31"/>
      <c r="P341" s="44"/>
      <c r="Q341" s="31"/>
      <c r="R341" s="45"/>
      <c r="S341" s="22"/>
      <c r="T341" s="22"/>
      <c r="U341" s="13"/>
      <c r="V341" s="13"/>
      <c r="W341" s="23"/>
      <c r="X341" s="13"/>
      <c r="Y341" s="13"/>
      <c r="Z341" s="13"/>
      <c r="AA341" s="13"/>
      <c r="AB341" s="13"/>
      <c r="AC341" s="13"/>
      <c r="AD341" s="13"/>
      <c r="AE341" s="13"/>
    </row>
    <row r="342" spans="1:31" ht="20.2" customHeight="1" x14ac:dyDescent="0.3">
      <c r="A342" s="14"/>
      <c r="B342" s="41"/>
      <c r="C342" s="31"/>
      <c r="D342" s="31"/>
      <c r="E342" s="31"/>
      <c r="F342" s="32"/>
      <c r="G342" s="42"/>
      <c r="H342" s="18" t="str">
        <f>IFERROR(VLOOKUP(G342,List2!$B$2:$C$100,2,FALSE), "Kerkali xodim topilmadi")</f>
        <v>Kerkali xodim topilmadi</v>
      </c>
      <c r="I342" s="7" t="str">
        <f>IFERROR(VLOOKUP(G342,List2!$B$2:$D$100,3,FALSE), "Kerkali BO'LIM topilmadi")</f>
        <v>Kerkali BO'LIM topilmadi</v>
      </c>
      <c r="J342" s="31"/>
      <c r="K342" s="43"/>
      <c r="L342" s="31"/>
      <c r="M342" s="31"/>
      <c r="N342" s="31"/>
      <c r="O342" s="31"/>
      <c r="P342" s="44"/>
      <c r="Q342" s="31"/>
      <c r="R342" s="45"/>
      <c r="S342" s="22"/>
      <c r="T342" s="22"/>
      <c r="U342" s="13"/>
      <c r="V342" s="13"/>
      <c r="W342" s="23"/>
      <c r="X342" s="13"/>
      <c r="Y342" s="13"/>
      <c r="Z342" s="13"/>
      <c r="AA342" s="13"/>
      <c r="AB342" s="13"/>
      <c r="AC342" s="13"/>
      <c r="AD342" s="13"/>
      <c r="AE342" s="13"/>
    </row>
    <row r="343" spans="1:31" ht="20.2" customHeight="1" x14ac:dyDescent="0.3">
      <c r="A343" s="14"/>
      <c r="B343" s="41"/>
      <c r="C343" s="31"/>
      <c r="D343" s="31"/>
      <c r="E343" s="31"/>
      <c r="F343" s="32"/>
      <c r="G343" s="42"/>
      <c r="H343" s="18" t="str">
        <f>IFERROR(VLOOKUP(G343,List2!$B$2:$C$100,2,FALSE), "Kerkali xodim topilmadi")</f>
        <v>Kerkali xodim topilmadi</v>
      </c>
      <c r="I343" s="7" t="str">
        <f>IFERROR(VLOOKUP(G343,List2!$B$2:$D$100,3,FALSE), "Kerkali BO'LIM topilmadi")</f>
        <v>Kerkali BO'LIM topilmadi</v>
      </c>
      <c r="J343" s="31"/>
      <c r="K343" s="43"/>
      <c r="L343" s="31"/>
      <c r="M343" s="31"/>
      <c r="N343" s="31"/>
      <c r="O343" s="31"/>
      <c r="P343" s="44"/>
      <c r="Q343" s="31"/>
      <c r="R343" s="45"/>
      <c r="S343" s="22"/>
      <c r="T343" s="22"/>
      <c r="U343" s="13"/>
      <c r="V343" s="13"/>
      <c r="W343" s="23"/>
      <c r="X343" s="13"/>
      <c r="Y343" s="13"/>
      <c r="Z343" s="13"/>
      <c r="AA343" s="13"/>
      <c r="AB343" s="13"/>
      <c r="AC343" s="13"/>
      <c r="AD343" s="13"/>
      <c r="AE343" s="13"/>
    </row>
    <row r="344" spans="1:31" ht="20.2" customHeight="1" x14ac:dyDescent="0.3">
      <c r="A344" s="14"/>
      <c r="B344" s="41"/>
      <c r="C344" s="31"/>
      <c r="D344" s="31"/>
      <c r="E344" s="31"/>
      <c r="F344" s="32"/>
      <c r="G344" s="42"/>
      <c r="H344" s="18" t="str">
        <f>IFERROR(VLOOKUP(G344,List2!$B$2:$C$100,2,FALSE), "Kerkali xodim topilmadi")</f>
        <v>Kerkali xodim topilmadi</v>
      </c>
      <c r="I344" s="7" t="str">
        <f>IFERROR(VLOOKUP(G344,List2!$B$2:$D$100,3,FALSE), "Kerkali BO'LIM topilmadi")</f>
        <v>Kerkali BO'LIM topilmadi</v>
      </c>
      <c r="J344" s="31"/>
      <c r="K344" s="43"/>
      <c r="L344" s="31"/>
      <c r="M344" s="31"/>
      <c r="N344" s="31"/>
      <c r="O344" s="31"/>
      <c r="P344" s="44"/>
      <c r="Q344" s="31"/>
      <c r="R344" s="45"/>
      <c r="S344" s="22"/>
      <c r="T344" s="22"/>
      <c r="U344" s="13"/>
      <c r="V344" s="13"/>
      <c r="W344" s="23"/>
      <c r="X344" s="13"/>
      <c r="Y344" s="13"/>
      <c r="Z344" s="13"/>
      <c r="AA344" s="13"/>
      <c r="AB344" s="13"/>
      <c r="AC344" s="13"/>
      <c r="AD344" s="13"/>
      <c r="AE344" s="13"/>
    </row>
    <row r="345" spans="1:31" ht="20.2" customHeight="1" x14ac:dyDescent="0.3">
      <c r="A345" s="14"/>
      <c r="B345" s="41"/>
      <c r="C345" s="31"/>
      <c r="D345" s="31"/>
      <c r="E345" s="31"/>
      <c r="F345" s="32"/>
      <c r="G345" s="42"/>
      <c r="H345" s="18" t="str">
        <f>IFERROR(VLOOKUP(G345,List2!$B$2:$C$100,2,FALSE), "Kerkali xodim topilmadi")</f>
        <v>Kerkali xodim topilmadi</v>
      </c>
      <c r="I345" s="7" t="str">
        <f>IFERROR(VLOOKUP(G345,List2!$B$2:$D$100,3,FALSE), "Kerkali BO'LIM topilmadi")</f>
        <v>Kerkali BO'LIM topilmadi</v>
      </c>
      <c r="J345" s="31"/>
      <c r="K345" s="43"/>
      <c r="L345" s="31"/>
      <c r="M345" s="31"/>
      <c r="N345" s="31"/>
      <c r="O345" s="31"/>
      <c r="P345" s="44"/>
      <c r="Q345" s="31"/>
      <c r="R345" s="45"/>
      <c r="S345" s="22"/>
      <c r="T345" s="22"/>
      <c r="U345" s="13"/>
      <c r="V345" s="13"/>
      <c r="W345" s="23"/>
      <c r="X345" s="13"/>
      <c r="Y345" s="13"/>
      <c r="Z345" s="13"/>
      <c r="AA345" s="13"/>
      <c r="AB345" s="13"/>
      <c r="AC345" s="13"/>
      <c r="AD345" s="13"/>
      <c r="AE345" s="13"/>
    </row>
    <row r="346" spans="1:31" ht="20.2" customHeight="1" x14ac:dyDescent="0.3">
      <c r="A346" s="14"/>
      <c r="B346" s="41"/>
      <c r="C346" s="31"/>
      <c r="D346" s="31"/>
      <c r="E346" s="31"/>
      <c r="F346" s="32"/>
      <c r="G346" s="42"/>
      <c r="H346" s="18" t="str">
        <f>IFERROR(VLOOKUP(G346,List2!$B$2:$C$100,2,FALSE), "Kerkali xodim topilmadi")</f>
        <v>Kerkali xodim topilmadi</v>
      </c>
      <c r="I346" s="7" t="str">
        <f>IFERROR(VLOOKUP(G346,List2!$B$2:$D$100,3,FALSE), "Kerkali BO'LIM topilmadi")</f>
        <v>Kerkali BO'LIM topilmadi</v>
      </c>
      <c r="J346" s="31"/>
      <c r="K346" s="43"/>
      <c r="L346" s="31"/>
      <c r="M346" s="31"/>
      <c r="N346" s="31"/>
      <c r="O346" s="31"/>
      <c r="P346" s="44"/>
      <c r="Q346" s="31"/>
      <c r="R346" s="45"/>
      <c r="S346" s="22"/>
      <c r="T346" s="22"/>
      <c r="U346" s="13"/>
      <c r="V346" s="13"/>
      <c r="W346" s="23"/>
      <c r="X346" s="13"/>
      <c r="Y346" s="13"/>
      <c r="Z346" s="13"/>
      <c r="AA346" s="13"/>
      <c r="AB346" s="13"/>
      <c r="AC346" s="13"/>
      <c r="AD346" s="13"/>
      <c r="AE346" s="13"/>
    </row>
    <row r="347" spans="1:31" ht="20.2" customHeight="1" x14ac:dyDescent="0.3">
      <c r="A347" s="14"/>
      <c r="B347" s="41"/>
      <c r="C347" s="31"/>
      <c r="D347" s="31"/>
      <c r="E347" s="31"/>
      <c r="F347" s="32"/>
      <c r="G347" s="42"/>
      <c r="H347" s="18" t="str">
        <f>IFERROR(VLOOKUP(G347,List2!$B$2:$C$100,2,FALSE), "Kerkali xodim topilmadi")</f>
        <v>Kerkali xodim topilmadi</v>
      </c>
      <c r="I347" s="7" t="str">
        <f>IFERROR(VLOOKUP(G347,List2!$B$2:$D$100,3,FALSE), "Kerkali BO'LIM topilmadi")</f>
        <v>Kerkali BO'LIM topilmadi</v>
      </c>
      <c r="J347" s="31"/>
      <c r="K347" s="43"/>
      <c r="L347" s="31"/>
      <c r="M347" s="31"/>
      <c r="N347" s="31"/>
      <c r="O347" s="31"/>
      <c r="P347" s="44"/>
      <c r="Q347" s="31"/>
      <c r="R347" s="45"/>
      <c r="S347" s="22"/>
      <c r="T347" s="22"/>
      <c r="U347" s="13"/>
      <c r="V347" s="13"/>
      <c r="W347" s="23"/>
      <c r="X347" s="13"/>
      <c r="Y347" s="13"/>
      <c r="Z347" s="13"/>
      <c r="AA347" s="13"/>
      <c r="AB347" s="13"/>
      <c r="AC347" s="13"/>
      <c r="AD347" s="13"/>
      <c r="AE347" s="13"/>
    </row>
    <row r="348" spans="1:31" ht="20.2" customHeight="1" x14ac:dyDescent="0.3">
      <c r="A348" s="14"/>
      <c r="B348" s="41"/>
      <c r="C348" s="31"/>
      <c r="D348" s="31"/>
      <c r="E348" s="31"/>
      <c r="F348" s="32"/>
      <c r="G348" s="42"/>
      <c r="H348" s="18" t="str">
        <f>IFERROR(VLOOKUP(G348,List2!$B$2:$C$100,2,FALSE), "Kerkali xodim topilmadi")</f>
        <v>Kerkali xodim topilmadi</v>
      </c>
      <c r="I348" s="7" t="str">
        <f>IFERROR(VLOOKUP(G348,List2!$B$2:$D$100,3,FALSE), "Kerkali BO'LIM topilmadi")</f>
        <v>Kerkali BO'LIM topilmadi</v>
      </c>
      <c r="J348" s="31"/>
      <c r="K348" s="43"/>
      <c r="L348" s="31"/>
      <c r="M348" s="31"/>
      <c r="N348" s="31"/>
      <c r="O348" s="31"/>
      <c r="P348" s="44"/>
      <c r="Q348" s="31"/>
      <c r="R348" s="45"/>
      <c r="S348" s="22"/>
      <c r="T348" s="22"/>
      <c r="U348" s="13"/>
      <c r="V348" s="13"/>
      <c r="W348" s="23"/>
      <c r="X348" s="13"/>
      <c r="Y348" s="13"/>
      <c r="Z348" s="13"/>
      <c r="AA348" s="13"/>
      <c r="AB348" s="13"/>
      <c r="AC348" s="13"/>
      <c r="AD348" s="13"/>
      <c r="AE348" s="13"/>
    </row>
    <row r="349" spans="1:31" ht="20.2" customHeight="1" x14ac:dyDescent="0.3">
      <c r="A349" s="14"/>
      <c r="B349" s="41"/>
      <c r="C349" s="31"/>
      <c r="D349" s="31"/>
      <c r="E349" s="31"/>
      <c r="F349" s="32"/>
      <c r="G349" s="42"/>
      <c r="H349" s="18" t="str">
        <f>IFERROR(VLOOKUP(G349,List2!$B$2:$C$100,2,FALSE), "Kerkali xodim topilmadi")</f>
        <v>Kerkali xodim topilmadi</v>
      </c>
      <c r="I349" s="7" t="str">
        <f>IFERROR(VLOOKUP(G349,List2!$B$2:$D$100,3,FALSE), "Kerkali BO'LIM topilmadi")</f>
        <v>Kerkali BO'LIM topilmadi</v>
      </c>
      <c r="J349" s="31"/>
      <c r="K349" s="43"/>
      <c r="L349" s="31"/>
      <c r="M349" s="31"/>
      <c r="N349" s="31"/>
      <c r="O349" s="31"/>
      <c r="P349" s="44"/>
      <c r="Q349" s="31"/>
      <c r="R349" s="45"/>
      <c r="S349" s="22"/>
      <c r="T349" s="22"/>
      <c r="U349" s="13"/>
      <c r="V349" s="13"/>
      <c r="W349" s="23"/>
      <c r="X349" s="13"/>
      <c r="Y349" s="13"/>
      <c r="Z349" s="13"/>
      <c r="AA349" s="13"/>
      <c r="AB349" s="13"/>
      <c r="AC349" s="13"/>
      <c r="AD349" s="13"/>
      <c r="AE349" s="13"/>
    </row>
    <row r="350" spans="1:31" ht="20.2" customHeight="1" x14ac:dyDescent="0.3">
      <c r="A350" s="14"/>
      <c r="B350" s="41"/>
      <c r="C350" s="31"/>
      <c r="D350" s="31"/>
      <c r="E350" s="31"/>
      <c r="F350" s="32"/>
      <c r="G350" s="42"/>
      <c r="H350" s="18" t="str">
        <f>IFERROR(VLOOKUP(G350,List2!$B$2:$C$100,2,FALSE), "Kerkali xodim topilmadi")</f>
        <v>Kerkali xodim topilmadi</v>
      </c>
      <c r="I350" s="7" t="str">
        <f>IFERROR(VLOOKUP(G350,List2!$B$2:$D$100,3,FALSE), "Kerkali BO'LIM topilmadi")</f>
        <v>Kerkali BO'LIM topilmadi</v>
      </c>
      <c r="J350" s="31"/>
      <c r="K350" s="43"/>
      <c r="L350" s="31"/>
      <c r="M350" s="31"/>
      <c r="N350" s="31"/>
      <c r="O350" s="31"/>
      <c r="P350" s="44"/>
      <c r="Q350" s="31"/>
      <c r="R350" s="45"/>
      <c r="S350" s="22"/>
      <c r="T350" s="22"/>
      <c r="U350" s="13"/>
      <c r="V350" s="13"/>
      <c r="W350" s="23"/>
      <c r="X350" s="13"/>
      <c r="Y350" s="13"/>
      <c r="Z350" s="13"/>
      <c r="AA350" s="13"/>
      <c r="AB350" s="13"/>
      <c r="AC350" s="13"/>
      <c r="AD350" s="13"/>
      <c r="AE350" s="13"/>
    </row>
    <row r="351" spans="1:31" ht="20.2" customHeight="1" x14ac:dyDescent="0.3">
      <c r="A351" s="14"/>
      <c r="B351" s="41"/>
      <c r="C351" s="31"/>
      <c r="D351" s="31"/>
      <c r="E351" s="31"/>
      <c r="F351" s="32"/>
      <c r="G351" s="42"/>
      <c r="H351" s="18" t="str">
        <f>IFERROR(VLOOKUP(G351,List2!$B$2:$C$100,2,FALSE), "Kerkali xodim topilmadi")</f>
        <v>Kerkali xodim topilmadi</v>
      </c>
      <c r="I351" s="7" t="str">
        <f>IFERROR(VLOOKUP(G351,List2!$B$2:$D$100,3,FALSE), "Kerkali BO'LIM topilmadi")</f>
        <v>Kerkali BO'LIM topilmadi</v>
      </c>
      <c r="J351" s="31"/>
      <c r="K351" s="43"/>
      <c r="L351" s="31"/>
      <c r="M351" s="31"/>
      <c r="N351" s="31"/>
      <c r="O351" s="31"/>
      <c r="P351" s="44"/>
      <c r="Q351" s="31"/>
      <c r="R351" s="45"/>
      <c r="S351" s="22"/>
      <c r="T351" s="22"/>
      <c r="U351" s="13"/>
      <c r="V351" s="13"/>
      <c r="W351" s="23"/>
      <c r="X351" s="13"/>
      <c r="Y351" s="13"/>
      <c r="Z351" s="13"/>
      <c r="AA351" s="13"/>
      <c r="AB351" s="13"/>
      <c r="AC351" s="13"/>
      <c r="AD351" s="13"/>
      <c r="AE351" s="13"/>
    </row>
    <row r="352" spans="1:31" ht="20.2" customHeight="1" x14ac:dyDescent="0.3">
      <c r="A352" s="14"/>
      <c r="B352" s="41"/>
      <c r="C352" s="31"/>
      <c r="D352" s="31"/>
      <c r="E352" s="31"/>
      <c r="F352" s="32"/>
      <c r="G352" s="42"/>
      <c r="H352" s="18" t="str">
        <f>IFERROR(VLOOKUP(G352,List2!$B$2:$C$100,2,FALSE), "Kerkali xodim topilmadi")</f>
        <v>Kerkali xodim topilmadi</v>
      </c>
      <c r="I352" s="7" t="str">
        <f>IFERROR(VLOOKUP(G352,List2!$B$2:$D$100,3,FALSE), "Kerkali BO'LIM topilmadi")</f>
        <v>Kerkali BO'LIM topilmadi</v>
      </c>
      <c r="J352" s="31"/>
      <c r="K352" s="43"/>
      <c r="L352" s="31"/>
      <c r="M352" s="31"/>
      <c r="N352" s="31"/>
      <c r="O352" s="31"/>
      <c r="P352" s="44"/>
      <c r="Q352" s="31"/>
      <c r="R352" s="45"/>
      <c r="S352" s="22"/>
      <c r="T352" s="22"/>
      <c r="U352" s="13"/>
      <c r="V352" s="13"/>
      <c r="W352" s="23"/>
      <c r="X352" s="13"/>
      <c r="Y352" s="13"/>
      <c r="Z352" s="13"/>
      <c r="AA352" s="13"/>
      <c r="AB352" s="13"/>
      <c r="AC352" s="13"/>
      <c r="AD352" s="13"/>
      <c r="AE352" s="13"/>
    </row>
    <row r="353" spans="1:31" ht="20.2" customHeight="1" x14ac:dyDescent="0.3">
      <c r="A353" s="14"/>
      <c r="B353" s="41"/>
      <c r="C353" s="31"/>
      <c r="D353" s="31"/>
      <c r="E353" s="31"/>
      <c r="F353" s="32"/>
      <c r="G353" s="42"/>
      <c r="H353" s="18" t="str">
        <f>IFERROR(VLOOKUP(G353,List2!$B$2:$C$100,2,FALSE), "Kerkali xodim topilmadi")</f>
        <v>Kerkali xodim topilmadi</v>
      </c>
      <c r="I353" s="7" t="str">
        <f>IFERROR(VLOOKUP(G353,List2!$B$2:$D$100,3,FALSE), "Kerkali BO'LIM topilmadi")</f>
        <v>Kerkali BO'LIM topilmadi</v>
      </c>
      <c r="J353" s="31"/>
      <c r="K353" s="43"/>
      <c r="L353" s="31"/>
      <c r="M353" s="31"/>
      <c r="N353" s="31"/>
      <c r="O353" s="31"/>
      <c r="P353" s="44"/>
      <c r="Q353" s="31"/>
      <c r="R353" s="45"/>
      <c r="S353" s="22"/>
      <c r="T353" s="22"/>
      <c r="U353" s="13"/>
      <c r="V353" s="13"/>
      <c r="W353" s="23"/>
      <c r="X353" s="13"/>
      <c r="Y353" s="13"/>
      <c r="Z353" s="13"/>
      <c r="AA353" s="13"/>
      <c r="AB353" s="13"/>
      <c r="AC353" s="13"/>
      <c r="AD353" s="13"/>
      <c r="AE353" s="13"/>
    </row>
    <row r="354" spans="1:31" ht="20.2" customHeight="1" x14ac:dyDescent="0.3">
      <c r="A354" s="14"/>
      <c r="B354" s="41"/>
      <c r="C354" s="31"/>
      <c r="D354" s="31"/>
      <c r="E354" s="31"/>
      <c r="F354" s="32"/>
      <c r="G354" s="42"/>
      <c r="H354" s="18" t="str">
        <f>IFERROR(VLOOKUP(G354,List2!$B$2:$C$100,2,FALSE), "Kerkali xodim topilmadi")</f>
        <v>Kerkali xodim topilmadi</v>
      </c>
      <c r="I354" s="7" t="str">
        <f>IFERROR(VLOOKUP(G354,List2!$B$2:$D$100,3,FALSE), "Kerkali BO'LIM topilmadi")</f>
        <v>Kerkali BO'LIM topilmadi</v>
      </c>
      <c r="J354" s="31"/>
      <c r="K354" s="43"/>
      <c r="L354" s="31"/>
      <c r="M354" s="31"/>
      <c r="N354" s="31"/>
      <c r="O354" s="31"/>
      <c r="P354" s="44"/>
      <c r="Q354" s="31"/>
      <c r="R354" s="45"/>
      <c r="S354" s="22"/>
      <c r="T354" s="22"/>
      <c r="U354" s="13"/>
      <c r="V354" s="13"/>
      <c r="W354" s="23"/>
      <c r="X354" s="13"/>
      <c r="Y354" s="13"/>
      <c r="Z354" s="13"/>
      <c r="AA354" s="13"/>
      <c r="AB354" s="13"/>
      <c r="AC354" s="13"/>
      <c r="AD354" s="13"/>
      <c r="AE354" s="13"/>
    </row>
    <row r="355" spans="1:31" ht="20.2" customHeight="1" x14ac:dyDescent="0.3">
      <c r="A355" s="14"/>
      <c r="B355" s="41"/>
      <c r="C355" s="31"/>
      <c r="D355" s="31"/>
      <c r="E355" s="31"/>
      <c r="F355" s="32"/>
      <c r="G355" s="42"/>
      <c r="H355" s="18" t="str">
        <f>IFERROR(VLOOKUP(G355,List2!$B$2:$C$100,2,FALSE), "Kerkali xodim topilmadi")</f>
        <v>Kerkali xodim topilmadi</v>
      </c>
      <c r="I355" s="7" t="str">
        <f>IFERROR(VLOOKUP(G355,List2!$B$2:$D$100,3,FALSE), "Kerkali BO'LIM topilmadi")</f>
        <v>Kerkali BO'LIM topilmadi</v>
      </c>
      <c r="J355" s="31"/>
      <c r="K355" s="43"/>
      <c r="L355" s="31"/>
      <c r="M355" s="31"/>
      <c r="N355" s="31"/>
      <c r="O355" s="31"/>
      <c r="P355" s="44"/>
      <c r="Q355" s="31"/>
      <c r="R355" s="45"/>
      <c r="S355" s="22"/>
      <c r="T355" s="22"/>
      <c r="U355" s="13"/>
      <c r="V355" s="13"/>
      <c r="W355" s="23"/>
      <c r="X355" s="13"/>
      <c r="Y355" s="13"/>
      <c r="Z355" s="13"/>
      <c r="AA355" s="13"/>
      <c r="AB355" s="13"/>
      <c r="AC355" s="13"/>
      <c r="AD355" s="13"/>
      <c r="AE355" s="13"/>
    </row>
    <row r="356" spans="1:31" ht="20.2" customHeight="1" x14ac:dyDescent="0.3">
      <c r="A356" s="14"/>
      <c r="B356" s="41"/>
      <c r="C356" s="31"/>
      <c r="D356" s="31"/>
      <c r="E356" s="31"/>
      <c r="F356" s="32"/>
      <c r="G356" s="42"/>
      <c r="H356" s="18" t="str">
        <f>IFERROR(VLOOKUP(G356,List2!$B$2:$C$100,2,FALSE), "Kerkali xodim topilmadi")</f>
        <v>Kerkali xodim topilmadi</v>
      </c>
      <c r="I356" s="7" t="str">
        <f>IFERROR(VLOOKUP(G356,List2!$B$2:$D$100,3,FALSE), "Kerkali BO'LIM topilmadi")</f>
        <v>Kerkali BO'LIM topilmadi</v>
      </c>
      <c r="J356" s="31"/>
      <c r="K356" s="43"/>
      <c r="L356" s="31"/>
      <c r="M356" s="31"/>
      <c r="N356" s="31"/>
      <c r="O356" s="31"/>
      <c r="P356" s="44"/>
      <c r="Q356" s="31"/>
      <c r="R356" s="45"/>
      <c r="S356" s="22"/>
      <c r="T356" s="22"/>
      <c r="U356" s="13"/>
      <c r="V356" s="13"/>
      <c r="W356" s="23"/>
      <c r="X356" s="13"/>
      <c r="Y356" s="13"/>
      <c r="Z356" s="13"/>
      <c r="AA356" s="13"/>
      <c r="AB356" s="13"/>
      <c r="AC356" s="13"/>
      <c r="AD356" s="13"/>
      <c r="AE356" s="13"/>
    </row>
    <row r="357" spans="1:31" ht="20.2" customHeight="1" x14ac:dyDescent="0.3">
      <c r="A357" s="14"/>
      <c r="B357" s="41"/>
      <c r="C357" s="31"/>
      <c r="D357" s="31"/>
      <c r="E357" s="31"/>
      <c r="F357" s="32"/>
      <c r="G357" s="42"/>
      <c r="H357" s="18" t="str">
        <f>IFERROR(VLOOKUP(G357,List2!$B$2:$C$100,2,FALSE), "Kerkali xodim topilmadi")</f>
        <v>Kerkali xodim topilmadi</v>
      </c>
      <c r="I357" s="7" t="str">
        <f>IFERROR(VLOOKUP(G357,List2!$B$2:$D$100,3,FALSE), "Kerkali BO'LIM topilmadi")</f>
        <v>Kerkali BO'LIM topilmadi</v>
      </c>
      <c r="J357" s="31"/>
      <c r="K357" s="43"/>
      <c r="L357" s="31"/>
      <c r="M357" s="31"/>
      <c r="N357" s="31"/>
      <c r="O357" s="31"/>
      <c r="P357" s="44"/>
      <c r="Q357" s="31"/>
      <c r="R357" s="45"/>
      <c r="S357" s="22"/>
      <c r="T357" s="22"/>
      <c r="U357" s="13"/>
      <c r="V357" s="13"/>
      <c r="W357" s="23"/>
      <c r="X357" s="13"/>
      <c r="Y357" s="13"/>
      <c r="Z357" s="13"/>
      <c r="AA357" s="13"/>
      <c r="AB357" s="13"/>
      <c r="AC357" s="13"/>
      <c r="AD357" s="13"/>
      <c r="AE357" s="13"/>
    </row>
    <row r="358" spans="1:31" ht="20.2" customHeight="1" x14ac:dyDescent="0.3">
      <c r="A358" s="14"/>
      <c r="B358" s="41"/>
      <c r="C358" s="31"/>
      <c r="D358" s="31"/>
      <c r="E358" s="31"/>
      <c r="F358" s="32"/>
      <c r="G358" s="42"/>
      <c r="H358" s="18" t="str">
        <f>IFERROR(VLOOKUP(G358,List2!$B$2:$C$100,2,FALSE), "Kerkali xodim topilmadi")</f>
        <v>Kerkali xodim topilmadi</v>
      </c>
      <c r="I358" s="7" t="str">
        <f>IFERROR(VLOOKUP(G358,List2!$B$2:$D$100,3,FALSE), "Kerkali BO'LIM topilmadi")</f>
        <v>Kerkali BO'LIM topilmadi</v>
      </c>
      <c r="J358" s="31"/>
      <c r="K358" s="43"/>
      <c r="L358" s="31"/>
      <c r="M358" s="31"/>
      <c r="N358" s="31"/>
      <c r="O358" s="31"/>
      <c r="P358" s="44"/>
      <c r="Q358" s="31"/>
      <c r="R358" s="45"/>
      <c r="S358" s="22"/>
      <c r="T358" s="22"/>
      <c r="U358" s="13"/>
      <c r="V358" s="13"/>
      <c r="W358" s="23"/>
      <c r="X358" s="13"/>
      <c r="Y358" s="13"/>
      <c r="Z358" s="13"/>
      <c r="AA358" s="13"/>
      <c r="AB358" s="13"/>
      <c r="AC358" s="13"/>
      <c r="AD358" s="13"/>
      <c r="AE358" s="13"/>
    </row>
    <row r="359" spans="1:31" ht="20.2" customHeight="1" x14ac:dyDescent="0.3">
      <c r="A359" s="14"/>
      <c r="B359" s="41"/>
      <c r="C359" s="31"/>
      <c r="D359" s="31"/>
      <c r="E359" s="31"/>
      <c r="F359" s="32"/>
      <c r="G359" s="42"/>
      <c r="H359" s="18" t="str">
        <f>IFERROR(VLOOKUP(G359,List2!$B$2:$C$100,2,FALSE), "Kerkali xodim topilmadi")</f>
        <v>Kerkali xodim topilmadi</v>
      </c>
      <c r="I359" s="7" t="str">
        <f>IFERROR(VLOOKUP(G359,List2!$B$2:$D$100,3,FALSE), "Kerkali BO'LIM topilmadi")</f>
        <v>Kerkali BO'LIM topilmadi</v>
      </c>
      <c r="J359" s="31"/>
      <c r="K359" s="43"/>
      <c r="L359" s="31"/>
      <c r="M359" s="31"/>
      <c r="N359" s="31"/>
      <c r="O359" s="31"/>
      <c r="P359" s="44"/>
      <c r="Q359" s="31"/>
      <c r="R359" s="45"/>
      <c r="S359" s="22"/>
      <c r="T359" s="22"/>
      <c r="U359" s="13"/>
      <c r="V359" s="13"/>
      <c r="W359" s="23"/>
      <c r="X359" s="13"/>
      <c r="Y359" s="13"/>
      <c r="Z359" s="13"/>
      <c r="AA359" s="13"/>
      <c r="AB359" s="13"/>
      <c r="AC359" s="13"/>
      <c r="AD359" s="13"/>
      <c r="AE359" s="13"/>
    </row>
    <row r="360" spans="1:31" ht="20.2" customHeight="1" x14ac:dyDescent="0.3">
      <c r="A360" s="14"/>
      <c r="B360" s="41"/>
      <c r="C360" s="31"/>
      <c r="D360" s="31"/>
      <c r="E360" s="31"/>
      <c r="F360" s="32"/>
      <c r="G360" s="42"/>
      <c r="H360" s="18" t="str">
        <f>IFERROR(VLOOKUP(G360,List2!$B$2:$C$100,2,FALSE), "Kerkali xodim topilmadi")</f>
        <v>Kerkali xodim topilmadi</v>
      </c>
      <c r="I360" s="7" t="str">
        <f>IFERROR(VLOOKUP(G360,List2!$B$2:$D$100,3,FALSE), "Kerkali BO'LIM topilmadi")</f>
        <v>Kerkali BO'LIM topilmadi</v>
      </c>
      <c r="J360" s="31"/>
      <c r="K360" s="43"/>
      <c r="L360" s="31"/>
      <c r="M360" s="31"/>
      <c r="N360" s="31"/>
      <c r="O360" s="31"/>
      <c r="P360" s="44"/>
      <c r="Q360" s="31"/>
      <c r="R360" s="45"/>
      <c r="S360" s="22"/>
      <c r="T360" s="22"/>
      <c r="U360" s="13"/>
      <c r="V360" s="13"/>
      <c r="W360" s="23"/>
      <c r="X360" s="13"/>
      <c r="Y360" s="13"/>
      <c r="Z360" s="13"/>
      <c r="AA360" s="13"/>
      <c r="AB360" s="13"/>
      <c r="AC360" s="13"/>
      <c r="AD360" s="13"/>
      <c r="AE360" s="13"/>
    </row>
    <row r="361" spans="1:31" ht="20.2" customHeight="1" x14ac:dyDescent="0.3">
      <c r="A361" s="14"/>
      <c r="B361" s="41"/>
      <c r="C361" s="31"/>
      <c r="D361" s="31"/>
      <c r="E361" s="31"/>
      <c r="F361" s="32"/>
      <c r="G361" s="42"/>
      <c r="H361" s="18" t="str">
        <f>IFERROR(VLOOKUP(G361,List2!$B$2:$C$100,2,FALSE), "Kerkali xodim topilmadi")</f>
        <v>Kerkali xodim topilmadi</v>
      </c>
      <c r="I361" s="7" t="str">
        <f>IFERROR(VLOOKUP(G361,List2!$B$2:$D$100,3,FALSE), "Kerkali BO'LIM topilmadi")</f>
        <v>Kerkali BO'LIM topilmadi</v>
      </c>
      <c r="J361" s="31"/>
      <c r="K361" s="43"/>
      <c r="L361" s="31"/>
      <c r="M361" s="31"/>
      <c r="N361" s="31"/>
      <c r="O361" s="31"/>
      <c r="P361" s="44"/>
      <c r="Q361" s="31"/>
      <c r="R361" s="45"/>
      <c r="S361" s="22"/>
      <c r="T361" s="22"/>
      <c r="U361" s="13"/>
      <c r="V361" s="13"/>
      <c r="W361" s="23"/>
      <c r="X361" s="13"/>
      <c r="Y361" s="13"/>
      <c r="Z361" s="13"/>
      <c r="AA361" s="13"/>
      <c r="AB361" s="13"/>
      <c r="AC361" s="13"/>
      <c r="AD361" s="13"/>
      <c r="AE361" s="13"/>
    </row>
    <row r="362" spans="1:31" ht="20.2" customHeight="1" x14ac:dyDescent="0.3">
      <c r="A362" s="14"/>
      <c r="B362" s="41"/>
      <c r="C362" s="31"/>
      <c r="D362" s="31"/>
      <c r="E362" s="31"/>
      <c r="F362" s="32"/>
      <c r="G362" s="42"/>
      <c r="H362" s="18" t="str">
        <f>IFERROR(VLOOKUP(G362,List2!$B$2:$C$100,2,FALSE), "Kerkali xodim topilmadi")</f>
        <v>Kerkali xodim topilmadi</v>
      </c>
      <c r="I362" s="7" t="str">
        <f>IFERROR(VLOOKUP(G362,List2!$B$2:$D$100,3,FALSE), "Kerkali BO'LIM topilmadi")</f>
        <v>Kerkali BO'LIM topilmadi</v>
      </c>
      <c r="J362" s="31"/>
      <c r="K362" s="43"/>
      <c r="L362" s="31"/>
      <c r="M362" s="31"/>
      <c r="N362" s="31"/>
      <c r="O362" s="31"/>
      <c r="P362" s="44"/>
      <c r="Q362" s="31"/>
      <c r="R362" s="45"/>
      <c r="S362" s="22"/>
      <c r="T362" s="22"/>
      <c r="U362" s="13"/>
      <c r="V362" s="13"/>
      <c r="W362" s="23"/>
      <c r="X362" s="13"/>
      <c r="Y362" s="13"/>
      <c r="Z362" s="13"/>
      <c r="AA362" s="13"/>
      <c r="AB362" s="13"/>
      <c r="AC362" s="13"/>
      <c r="AD362" s="13"/>
      <c r="AE362" s="13"/>
    </row>
    <row r="363" spans="1:31" ht="20.2" customHeight="1" x14ac:dyDescent="0.3">
      <c r="A363" s="14"/>
      <c r="B363" s="41"/>
      <c r="C363" s="31"/>
      <c r="D363" s="31"/>
      <c r="E363" s="31"/>
      <c r="F363" s="32"/>
      <c r="G363" s="42"/>
      <c r="H363" s="18" t="str">
        <f>IFERROR(VLOOKUP(G363,List2!$B$2:$C$100,2,FALSE), "Kerkali xodim topilmadi")</f>
        <v>Kerkali xodim topilmadi</v>
      </c>
      <c r="I363" s="7" t="str">
        <f>IFERROR(VLOOKUP(G363,List2!$B$2:$D$100,3,FALSE), "Kerkali BO'LIM topilmadi")</f>
        <v>Kerkali BO'LIM topilmadi</v>
      </c>
      <c r="J363" s="31"/>
      <c r="K363" s="43"/>
      <c r="L363" s="31"/>
      <c r="M363" s="31"/>
      <c r="N363" s="31"/>
      <c r="O363" s="31"/>
      <c r="P363" s="44"/>
      <c r="Q363" s="31"/>
      <c r="R363" s="45"/>
      <c r="S363" s="22"/>
      <c r="T363" s="22"/>
      <c r="U363" s="13"/>
      <c r="V363" s="13"/>
      <c r="W363" s="23"/>
      <c r="X363" s="13"/>
      <c r="Y363" s="13"/>
      <c r="Z363" s="13"/>
      <c r="AA363" s="13"/>
      <c r="AB363" s="13"/>
      <c r="AC363" s="13"/>
      <c r="AD363" s="13"/>
      <c r="AE363" s="13"/>
    </row>
    <row r="364" spans="1:31" ht="20.2" customHeight="1" x14ac:dyDescent="0.3">
      <c r="A364" s="14"/>
      <c r="B364" s="41"/>
      <c r="C364" s="31"/>
      <c r="D364" s="31"/>
      <c r="E364" s="31"/>
      <c r="F364" s="32"/>
      <c r="G364" s="42"/>
      <c r="H364" s="18" t="str">
        <f>IFERROR(VLOOKUP(G364,List2!$B$2:$C$100,2,FALSE), "Kerkali xodim topilmadi")</f>
        <v>Kerkali xodim topilmadi</v>
      </c>
      <c r="I364" s="7" t="str">
        <f>IFERROR(VLOOKUP(G364,List2!$B$2:$D$100,3,FALSE), "Kerkali BO'LIM topilmadi")</f>
        <v>Kerkali BO'LIM topilmadi</v>
      </c>
      <c r="J364" s="31"/>
      <c r="K364" s="43"/>
      <c r="L364" s="31"/>
      <c r="M364" s="31"/>
      <c r="N364" s="31"/>
      <c r="O364" s="31"/>
      <c r="P364" s="44"/>
      <c r="Q364" s="31"/>
      <c r="R364" s="45"/>
      <c r="S364" s="22"/>
      <c r="T364" s="22"/>
      <c r="U364" s="13"/>
      <c r="V364" s="13"/>
      <c r="W364" s="23"/>
      <c r="X364" s="13"/>
      <c r="Y364" s="13"/>
      <c r="Z364" s="13"/>
      <c r="AA364" s="13"/>
      <c r="AB364" s="13"/>
      <c r="AC364" s="13"/>
      <c r="AD364" s="13"/>
      <c r="AE364" s="13"/>
    </row>
    <row r="365" spans="1:31" ht="20.2" customHeight="1" x14ac:dyDescent="0.3">
      <c r="A365" s="14"/>
      <c r="B365" s="41"/>
      <c r="C365" s="31"/>
      <c r="D365" s="31"/>
      <c r="E365" s="31"/>
      <c r="F365" s="32"/>
      <c r="G365" s="42"/>
      <c r="H365" s="18" t="str">
        <f>IFERROR(VLOOKUP(G365,List2!$B$2:$C$100,2,FALSE), "Kerkali xodim topilmadi")</f>
        <v>Kerkali xodim topilmadi</v>
      </c>
      <c r="I365" s="7" t="str">
        <f>IFERROR(VLOOKUP(G365,List2!$B$2:$D$100,3,FALSE), "Kerkali BO'LIM topilmadi")</f>
        <v>Kerkali BO'LIM topilmadi</v>
      </c>
      <c r="J365" s="31"/>
      <c r="K365" s="43"/>
      <c r="L365" s="31"/>
      <c r="M365" s="31"/>
      <c r="N365" s="31"/>
      <c r="O365" s="31"/>
      <c r="P365" s="44"/>
      <c r="Q365" s="31"/>
      <c r="R365" s="45"/>
      <c r="S365" s="22"/>
      <c r="T365" s="22"/>
      <c r="U365" s="13"/>
      <c r="V365" s="13"/>
      <c r="W365" s="23"/>
      <c r="X365" s="13"/>
      <c r="Y365" s="13"/>
      <c r="Z365" s="13"/>
      <c r="AA365" s="13"/>
      <c r="AB365" s="13"/>
      <c r="AC365" s="13"/>
      <c r="AD365" s="13"/>
      <c r="AE365" s="13"/>
    </row>
    <row r="366" spans="1:31" ht="20.2" customHeight="1" x14ac:dyDescent="0.3">
      <c r="A366" s="14"/>
      <c r="B366" s="41"/>
      <c r="C366" s="31"/>
      <c r="D366" s="31"/>
      <c r="E366" s="31"/>
      <c r="F366" s="32"/>
      <c r="G366" s="42"/>
      <c r="H366" s="18" t="str">
        <f>IFERROR(VLOOKUP(G366,List2!$B$2:$C$100,2,FALSE), "Kerkali xodim topilmadi")</f>
        <v>Kerkali xodim topilmadi</v>
      </c>
      <c r="I366" s="7" t="str">
        <f>IFERROR(VLOOKUP(G366,List2!$B$2:$D$100,3,FALSE), "Kerkali BO'LIM topilmadi")</f>
        <v>Kerkali BO'LIM topilmadi</v>
      </c>
      <c r="J366" s="31"/>
      <c r="K366" s="43"/>
      <c r="L366" s="31"/>
      <c r="M366" s="31"/>
      <c r="N366" s="31"/>
      <c r="O366" s="31"/>
      <c r="P366" s="44"/>
      <c r="Q366" s="31"/>
      <c r="R366" s="45"/>
      <c r="S366" s="22"/>
      <c r="T366" s="22"/>
      <c r="U366" s="13"/>
      <c r="V366" s="13"/>
      <c r="W366" s="23"/>
      <c r="X366" s="13"/>
      <c r="Y366" s="13"/>
      <c r="Z366" s="13"/>
      <c r="AA366" s="13"/>
      <c r="AB366" s="13"/>
      <c r="AC366" s="13"/>
      <c r="AD366" s="13"/>
      <c r="AE366" s="13"/>
    </row>
    <row r="367" spans="1:31" ht="20.2" customHeight="1" x14ac:dyDescent="0.3">
      <c r="A367" s="14"/>
      <c r="B367" s="41"/>
      <c r="C367" s="31"/>
      <c r="D367" s="31"/>
      <c r="E367" s="31"/>
      <c r="F367" s="32"/>
      <c r="G367" s="42"/>
      <c r="H367" s="18" t="str">
        <f>IFERROR(VLOOKUP(G367,List2!$B$2:$C$100,2,FALSE), "Kerkali xodim topilmadi")</f>
        <v>Kerkali xodim topilmadi</v>
      </c>
      <c r="I367" s="7" t="str">
        <f>IFERROR(VLOOKUP(G367,List2!$B$2:$D$100,3,FALSE), "Kerkali BO'LIM topilmadi")</f>
        <v>Kerkali BO'LIM topilmadi</v>
      </c>
      <c r="J367" s="31"/>
      <c r="K367" s="43"/>
      <c r="L367" s="31"/>
      <c r="M367" s="31"/>
      <c r="N367" s="31"/>
      <c r="O367" s="31"/>
      <c r="P367" s="44"/>
      <c r="Q367" s="31"/>
      <c r="R367" s="45"/>
      <c r="S367" s="22"/>
      <c r="T367" s="22"/>
      <c r="U367" s="13"/>
      <c r="V367" s="13"/>
      <c r="W367" s="23"/>
      <c r="X367" s="13"/>
      <c r="Y367" s="13"/>
      <c r="Z367" s="13"/>
      <c r="AA367" s="13"/>
      <c r="AB367" s="13"/>
      <c r="AC367" s="13"/>
      <c r="AD367" s="13"/>
      <c r="AE367" s="13"/>
    </row>
    <row r="368" spans="1:31" ht="20.2" customHeight="1" x14ac:dyDescent="0.3">
      <c r="A368" s="14"/>
      <c r="B368" s="41"/>
      <c r="C368" s="31"/>
      <c r="D368" s="31"/>
      <c r="E368" s="31"/>
      <c r="F368" s="32"/>
      <c r="G368" s="42"/>
      <c r="H368" s="18" t="str">
        <f>IFERROR(VLOOKUP(G368,List2!$B$2:$C$100,2,FALSE), "Kerkali xodim topilmadi")</f>
        <v>Kerkali xodim topilmadi</v>
      </c>
      <c r="I368" s="7" t="str">
        <f>IFERROR(VLOOKUP(G368,List2!$B$2:$D$100,3,FALSE), "Kerkali BO'LIM topilmadi")</f>
        <v>Kerkali BO'LIM topilmadi</v>
      </c>
      <c r="J368" s="31"/>
      <c r="K368" s="43"/>
      <c r="L368" s="31"/>
      <c r="M368" s="31"/>
      <c r="N368" s="31"/>
      <c r="O368" s="31"/>
      <c r="P368" s="44"/>
      <c r="Q368" s="31"/>
      <c r="R368" s="45"/>
      <c r="S368" s="22"/>
      <c r="T368" s="22"/>
      <c r="U368" s="13"/>
      <c r="V368" s="13"/>
      <c r="W368" s="23"/>
      <c r="X368" s="13"/>
      <c r="Y368" s="13"/>
      <c r="Z368" s="13"/>
      <c r="AA368" s="13"/>
      <c r="AB368" s="13"/>
      <c r="AC368" s="13"/>
      <c r="AD368" s="13"/>
      <c r="AE368" s="13"/>
    </row>
    <row r="369" spans="1:31" ht="20.2" customHeight="1" x14ac:dyDescent="0.3">
      <c r="A369" s="14"/>
      <c r="B369" s="41"/>
      <c r="C369" s="31"/>
      <c r="D369" s="31"/>
      <c r="E369" s="31"/>
      <c r="F369" s="32"/>
      <c r="G369" s="42"/>
      <c r="H369" s="18" t="str">
        <f>IFERROR(VLOOKUP(G369,List2!$B$2:$C$100,2,FALSE), "Kerkali xodim topilmadi")</f>
        <v>Kerkali xodim topilmadi</v>
      </c>
      <c r="I369" s="7" t="str">
        <f>IFERROR(VLOOKUP(G369,List2!$B$2:$D$100,3,FALSE), "Kerkali BO'LIM topilmadi")</f>
        <v>Kerkali BO'LIM topilmadi</v>
      </c>
      <c r="J369" s="31"/>
      <c r="K369" s="43"/>
      <c r="L369" s="31"/>
      <c r="M369" s="31"/>
      <c r="N369" s="31"/>
      <c r="O369" s="31"/>
      <c r="P369" s="44"/>
      <c r="Q369" s="31"/>
      <c r="R369" s="45"/>
      <c r="S369" s="22"/>
      <c r="T369" s="22"/>
      <c r="U369" s="13"/>
      <c r="V369" s="13"/>
      <c r="W369" s="23"/>
      <c r="X369" s="13"/>
      <c r="Y369" s="13"/>
      <c r="Z369" s="13"/>
      <c r="AA369" s="13"/>
      <c r="AB369" s="13"/>
      <c r="AC369" s="13"/>
      <c r="AD369" s="13"/>
      <c r="AE369" s="13"/>
    </row>
    <row r="370" spans="1:31" ht="20.2" customHeight="1" x14ac:dyDescent="0.3">
      <c r="A370" s="14"/>
      <c r="B370" s="41"/>
      <c r="C370" s="31"/>
      <c r="D370" s="31"/>
      <c r="E370" s="31"/>
      <c r="F370" s="32"/>
      <c r="G370" s="42"/>
      <c r="H370" s="18" t="str">
        <f>IFERROR(VLOOKUP(G370,List2!$B$2:$C$100,2,FALSE), "Kerkali xodim topilmadi")</f>
        <v>Kerkali xodim topilmadi</v>
      </c>
      <c r="I370" s="7" t="str">
        <f>IFERROR(VLOOKUP(G370,List2!$B$2:$D$100,3,FALSE), "Kerkali BO'LIM topilmadi")</f>
        <v>Kerkali BO'LIM topilmadi</v>
      </c>
      <c r="J370" s="31"/>
      <c r="K370" s="43"/>
      <c r="L370" s="31"/>
      <c r="M370" s="31"/>
      <c r="N370" s="31"/>
      <c r="O370" s="31"/>
      <c r="P370" s="44"/>
      <c r="Q370" s="31"/>
      <c r="R370" s="45"/>
      <c r="S370" s="22"/>
      <c r="T370" s="22"/>
      <c r="U370" s="13"/>
      <c r="V370" s="13"/>
      <c r="W370" s="23"/>
      <c r="X370" s="13"/>
      <c r="Y370" s="13"/>
      <c r="Z370" s="13"/>
      <c r="AA370" s="13"/>
      <c r="AB370" s="13"/>
      <c r="AC370" s="13"/>
      <c r="AD370" s="13"/>
      <c r="AE370" s="13"/>
    </row>
    <row r="371" spans="1:31" ht="20.2" customHeight="1" x14ac:dyDescent="0.3">
      <c r="A371" s="14"/>
      <c r="B371" s="41"/>
      <c r="C371" s="31"/>
      <c r="D371" s="31"/>
      <c r="E371" s="31"/>
      <c r="F371" s="32"/>
      <c r="G371" s="42"/>
      <c r="H371" s="18" t="str">
        <f>IFERROR(VLOOKUP(G371,List2!$B$2:$C$100,2,FALSE), "Kerkali xodim topilmadi")</f>
        <v>Kerkali xodim topilmadi</v>
      </c>
      <c r="I371" s="7" t="str">
        <f>IFERROR(VLOOKUP(G371,List2!$B$2:$D$100,3,FALSE), "Kerkali BO'LIM topilmadi")</f>
        <v>Kerkali BO'LIM topilmadi</v>
      </c>
      <c r="J371" s="31"/>
      <c r="K371" s="43"/>
      <c r="L371" s="31"/>
      <c r="M371" s="31"/>
      <c r="N371" s="31"/>
      <c r="O371" s="31"/>
      <c r="P371" s="44"/>
      <c r="Q371" s="31"/>
      <c r="R371" s="45"/>
      <c r="S371" s="22"/>
      <c r="T371" s="22"/>
      <c r="U371" s="13"/>
      <c r="V371" s="13"/>
      <c r="W371" s="23"/>
      <c r="X371" s="13"/>
      <c r="Y371" s="13"/>
      <c r="Z371" s="13"/>
      <c r="AA371" s="13"/>
      <c r="AB371" s="13"/>
      <c r="AC371" s="13"/>
      <c r="AD371" s="13"/>
      <c r="AE371" s="13"/>
    </row>
    <row r="372" spans="1:31" ht="20.2" customHeight="1" x14ac:dyDescent="0.3">
      <c r="A372" s="14"/>
      <c r="B372" s="41"/>
      <c r="C372" s="31"/>
      <c r="D372" s="31"/>
      <c r="E372" s="31"/>
      <c r="F372" s="32"/>
      <c r="G372" s="42"/>
      <c r="H372" s="18" t="str">
        <f>IFERROR(VLOOKUP(G372,List2!$B$2:$C$100,2,FALSE), "Kerkali xodim topilmadi")</f>
        <v>Kerkali xodim topilmadi</v>
      </c>
      <c r="I372" s="7" t="str">
        <f>IFERROR(VLOOKUP(G372,List2!$B$2:$D$100,3,FALSE), "Kerkali BO'LIM topilmadi")</f>
        <v>Kerkali BO'LIM topilmadi</v>
      </c>
      <c r="J372" s="31"/>
      <c r="K372" s="43"/>
      <c r="L372" s="31"/>
      <c r="M372" s="31"/>
      <c r="N372" s="31"/>
      <c r="O372" s="31"/>
      <c r="P372" s="44"/>
      <c r="Q372" s="31"/>
      <c r="R372" s="45"/>
      <c r="S372" s="22"/>
      <c r="T372" s="22"/>
      <c r="U372" s="13"/>
      <c r="V372" s="13"/>
      <c r="W372" s="23"/>
      <c r="X372" s="13"/>
      <c r="Y372" s="13"/>
      <c r="Z372" s="13"/>
      <c r="AA372" s="13"/>
      <c r="AB372" s="13"/>
      <c r="AC372" s="13"/>
      <c r="AD372" s="13"/>
      <c r="AE372" s="13"/>
    </row>
    <row r="373" spans="1:31" ht="20.2" customHeight="1" x14ac:dyDescent="0.3">
      <c r="A373" s="14"/>
      <c r="B373" s="41"/>
      <c r="C373" s="31"/>
      <c r="D373" s="31"/>
      <c r="E373" s="31"/>
      <c r="F373" s="32"/>
      <c r="G373" s="42"/>
      <c r="H373" s="18" t="str">
        <f>IFERROR(VLOOKUP(G373,List2!$B$2:$C$100,2,FALSE), "Kerkali xodim topilmadi")</f>
        <v>Kerkali xodim topilmadi</v>
      </c>
      <c r="I373" s="7" t="str">
        <f>IFERROR(VLOOKUP(G373,List2!$B$2:$D$100,3,FALSE), "Kerkali BO'LIM topilmadi")</f>
        <v>Kerkali BO'LIM topilmadi</v>
      </c>
      <c r="J373" s="31"/>
      <c r="K373" s="43"/>
      <c r="L373" s="31"/>
      <c r="M373" s="31"/>
      <c r="N373" s="31"/>
      <c r="O373" s="31"/>
      <c r="P373" s="44"/>
      <c r="Q373" s="31"/>
      <c r="R373" s="45"/>
      <c r="S373" s="22"/>
      <c r="T373" s="22"/>
      <c r="U373" s="13"/>
      <c r="V373" s="13"/>
      <c r="W373" s="23"/>
      <c r="X373" s="13"/>
      <c r="Y373" s="13"/>
      <c r="Z373" s="13"/>
      <c r="AA373" s="13"/>
      <c r="AB373" s="13"/>
      <c r="AC373" s="13"/>
      <c r="AD373" s="13"/>
      <c r="AE373" s="13"/>
    </row>
    <row r="374" spans="1:31" ht="20.2" customHeight="1" x14ac:dyDescent="0.3">
      <c r="A374" s="14"/>
      <c r="B374" s="41"/>
      <c r="C374" s="31"/>
      <c r="D374" s="31"/>
      <c r="E374" s="31"/>
      <c r="F374" s="32"/>
      <c r="G374" s="42"/>
      <c r="H374" s="18" t="str">
        <f>IFERROR(VLOOKUP(G374,List2!$B$2:$C$100,2,FALSE), "Kerkali xodim topilmadi")</f>
        <v>Kerkali xodim topilmadi</v>
      </c>
      <c r="I374" s="7" t="str">
        <f>IFERROR(VLOOKUP(G374,List2!$B$2:$D$100,3,FALSE), "Kerkali BO'LIM topilmadi")</f>
        <v>Kerkali BO'LIM topilmadi</v>
      </c>
      <c r="J374" s="31"/>
      <c r="K374" s="43"/>
      <c r="L374" s="31"/>
      <c r="M374" s="31"/>
      <c r="N374" s="31"/>
      <c r="O374" s="31"/>
      <c r="P374" s="44"/>
      <c r="Q374" s="31"/>
      <c r="R374" s="45"/>
      <c r="S374" s="22"/>
      <c r="T374" s="22"/>
      <c r="U374" s="13"/>
      <c r="V374" s="13"/>
      <c r="W374" s="23"/>
      <c r="X374" s="13"/>
      <c r="Y374" s="13"/>
      <c r="Z374" s="13"/>
      <c r="AA374" s="13"/>
      <c r="AB374" s="13"/>
      <c r="AC374" s="13"/>
      <c r="AD374" s="13"/>
      <c r="AE374" s="13"/>
    </row>
    <row r="375" spans="1:31" ht="20.2" customHeight="1" x14ac:dyDescent="0.3">
      <c r="A375" s="14"/>
      <c r="B375" s="41"/>
      <c r="C375" s="31"/>
      <c r="D375" s="31"/>
      <c r="E375" s="31"/>
      <c r="F375" s="32"/>
      <c r="G375" s="42"/>
      <c r="H375" s="18" t="str">
        <f>IFERROR(VLOOKUP(G375,List2!$B$2:$C$100,2,FALSE), "Kerkali xodim topilmadi")</f>
        <v>Kerkali xodim topilmadi</v>
      </c>
      <c r="I375" s="7" t="str">
        <f>IFERROR(VLOOKUP(G375,List2!$B$2:$D$100,3,FALSE), "Kerkali BO'LIM topilmadi")</f>
        <v>Kerkali BO'LIM topilmadi</v>
      </c>
      <c r="J375" s="31"/>
      <c r="K375" s="43"/>
      <c r="L375" s="31"/>
      <c r="M375" s="31"/>
      <c r="N375" s="31"/>
      <c r="O375" s="31"/>
      <c r="P375" s="44"/>
      <c r="Q375" s="31"/>
      <c r="R375" s="45"/>
      <c r="S375" s="22"/>
      <c r="T375" s="22"/>
      <c r="U375" s="13"/>
      <c r="V375" s="13"/>
      <c r="W375" s="23"/>
      <c r="X375" s="13"/>
      <c r="Y375" s="13"/>
      <c r="Z375" s="13"/>
      <c r="AA375" s="13"/>
      <c r="AB375" s="13"/>
      <c r="AC375" s="13"/>
      <c r="AD375" s="13"/>
      <c r="AE375" s="13"/>
    </row>
    <row r="376" spans="1:31" ht="20.2" customHeight="1" x14ac:dyDescent="0.3">
      <c r="A376" s="14"/>
      <c r="B376" s="41"/>
      <c r="C376" s="31"/>
      <c r="D376" s="31"/>
      <c r="E376" s="31"/>
      <c r="F376" s="32"/>
      <c r="G376" s="42"/>
      <c r="H376" s="18" t="str">
        <f>IFERROR(VLOOKUP(G376,List2!$B$2:$C$100,2,FALSE), "Kerkali xodim topilmadi")</f>
        <v>Kerkali xodim topilmadi</v>
      </c>
      <c r="I376" s="7" t="str">
        <f>IFERROR(VLOOKUP(G376,List2!$B$2:$D$100,3,FALSE), "Kerkali BO'LIM topilmadi")</f>
        <v>Kerkali BO'LIM topilmadi</v>
      </c>
      <c r="J376" s="31"/>
      <c r="K376" s="43"/>
      <c r="L376" s="31"/>
      <c r="M376" s="31"/>
      <c r="N376" s="31"/>
      <c r="O376" s="31"/>
      <c r="P376" s="44"/>
      <c r="Q376" s="31"/>
      <c r="R376" s="45"/>
      <c r="S376" s="22"/>
      <c r="T376" s="22"/>
      <c r="U376" s="13"/>
      <c r="V376" s="13"/>
      <c r="W376" s="23"/>
      <c r="X376" s="13"/>
      <c r="Y376" s="13"/>
      <c r="Z376" s="13"/>
      <c r="AA376" s="13"/>
      <c r="AB376" s="13"/>
      <c r="AC376" s="13"/>
      <c r="AD376" s="13"/>
      <c r="AE376" s="13"/>
    </row>
    <row r="377" spans="1:31" ht="20.2" customHeight="1" x14ac:dyDescent="0.3">
      <c r="A377" s="14"/>
      <c r="B377" s="41"/>
      <c r="C377" s="31"/>
      <c r="D377" s="31"/>
      <c r="E377" s="31"/>
      <c r="F377" s="32"/>
      <c r="G377" s="42"/>
      <c r="H377" s="18" t="str">
        <f>IFERROR(VLOOKUP(G377,List2!$B$2:$C$100,2,FALSE), "Kerkali xodim topilmadi")</f>
        <v>Kerkali xodim topilmadi</v>
      </c>
      <c r="I377" s="7" t="str">
        <f>IFERROR(VLOOKUP(G377,List2!$B$2:$D$100,3,FALSE), "Kerkali BO'LIM topilmadi")</f>
        <v>Kerkali BO'LIM topilmadi</v>
      </c>
      <c r="J377" s="31"/>
      <c r="K377" s="43"/>
      <c r="L377" s="31"/>
      <c r="M377" s="31"/>
      <c r="N377" s="31"/>
      <c r="O377" s="31"/>
      <c r="P377" s="44"/>
      <c r="Q377" s="31"/>
      <c r="R377" s="45"/>
      <c r="S377" s="22"/>
      <c r="T377" s="22"/>
      <c r="U377" s="13"/>
      <c r="V377" s="13"/>
      <c r="W377" s="23"/>
      <c r="X377" s="13"/>
      <c r="Y377" s="13"/>
      <c r="Z377" s="13"/>
      <c r="AA377" s="13"/>
      <c r="AB377" s="13"/>
      <c r="AC377" s="13"/>
      <c r="AD377" s="13"/>
      <c r="AE377" s="13"/>
    </row>
    <row r="378" spans="1:31" ht="20.2" customHeight="1" x14ac:dyDescent="0.3">
      <c r="A378" s="14"/>
      <c r="B378" s="41"/>
      <c r="C378" s="31"/>
      <c r="D378" s="31"/>
      <c r="E378" s="31"/>
      <c r="F378" s="32"/>
      <c r="G378" s="42"/>
      <c r="H378" s="18" t="str">
        <f>IFERROR(VLOOKUP(G378,List2!$B$2:$C$100,2,FALSE), "Kerkali xodim topilmadi")</f>
        <v>Kerkali xodim topilmadi</v>
      </c>
      <c r="I378" s="7" t="str">
        <f>IFERROR(VLOOKUP(G378,List2!$B$2:$D$100,3,FALSE), "Kerkali BO'LIM topilmadi")</f>
        <v>Kerkali BO'LIM topilmadi</v>
      </c>
      <c r="J378" s="31"/>
      <c r="K378" s="43"/>
      <c r="L378" s="31"/>
      <c r="M378" s="31"/>
      <c r="N378" s="31"/>
      <c r="O378" s="31"/>
      <c r="P378" s="44"/>
      <c r="Q378" s="31"/>
      <c r="R378" s="45"/>
      <c r="S378" s="22"/>
      <c r="T378" s="22"/>
      <c r="U378" s="13"/>
      <c r="V378" s="13"/>
      <c r="W378" s="23"/>
      <c r="X378" s="13"/>
      <c r="Y378" s="13"/>
      <c r="Z378" s="13"/>
      <c r="AA378" s="13"/>
      <c r="AB378" s="13"/>
      <c r="AC378" s="13"/>
      <c r="AD378" s="13"/>
      <c r="AE378" s="13"/>
    </row>
    <row r="379" spans="1:31" ht="20.2" customHeight="1" x14ac:dyDescent="0.3">
      <c r="A379" s="14"/>
      <c r="B379" s="41"/>
      <c r="C379" s="31"/>
      <c r="D379" s="31"/>
      <c r="E379" s="31"/>
      <c r="F379" s="32"/>
      <c r="G379" s="42"/>
      <c r="H379" s="18" t="str">
        <f>IFERROR(VLOOKUP(G379,List2!$B$2:$C$100,2,FALSE), "Kerkali xodim topilmadi")</f>
        <v>Kerkali xodim topilmadi</v>
      </c>
      <c r="I379" s="7" t="str">
        <f>IFERROR(VLOOKUP(G379,List2!$B$2:$D$100,3,FALSE), "Kerkali BO'LIM topilmadi")</f>
        <v>Kerkali BO'LIM topilmadi</v>
      </c>
      <c r="J379" s="31"/>
      <c r="K379" s="43"/>
      <c r="L379" s="31"/>
      <c r="M379" s="31"/>
      <c r="N379" s="31"/>
      <c r="O379" s="31"/>
      <c r="P379" s="44"/>
      <c r="Q379" s="31"/>
      <c r="R379" s="45"/>
      <c r="S379" s="22"/>
      <c r="T379" s="22"/>
      <c r="U379" s="13"/>
      <c r="V379" s="13"/>
      <c r="W379" s="23"/>
      <c r="X379" s="13"/>
      <c r="Y379" s="13"/>
      <c r="Z379" s="13"/>
      <c r="AA379" s="13"/>
      <c r="AB379" s="13"/>
      <c r="AC379" s="13"/>
      <c r="AD379" s="13"/>
      <c r="AE379" s="13"/>
    </row>
    <row r="380" spans="1:31" ht="20.2" customHeight="1" x14ac:dyDescent="0.3">
      <c r="A380" s="14"/>
      <c r="B380" s="41"/>
      <c r="C380" s="31"/>
      <c r="D380" s="31"/>
      <c r="E380" s="31"/>
      <c r="F380" s="32"/>
      <c r="G380" s="42"/>
      <c r="H380" s="18" t="str">
        <f>IFERROR(VLOOKUP(G380,List2!$B$2:$C$100,2,FALSE), "Kerkali xodim topilmadi")</f>
        <v>Kerkali xodim topilmadi</v>
      </c>
      <c r="I380" s="7" t="str">
        <f>IFERROR(VLOOKUP(G380,List2!$B$2:$D$100,3,FALSE), "Kerkali BO'LIM topilmadi")</f>
        <v>Kerkali BO'LIM topilmadi</v>
      </c>
      <c r="J380" s="31"/>
      <c r="K380" s="43"/>
      <c r="L380" s="31"/>
      <c r="M380" s="31"/>
      <c r="N380" s="31"/>
      <c r="O380" s="31"/>
      <c r="P380" s="44"/>
      <c r="Q380" s="31"/>
      <c r="R380" s="45"/>
      <c r="S380" s="22"/>
      <c r="T380" s="22"/>
      <c r="U380" s="13"/>
      <c r="V380" s="13"/>
      <c r="W380" s="23"/>
      <c r="X380" s="13"/>
      <c r="Y380" s="13"/>
      <c r="Z380" s="13"/>
      <c r="AA380" s="13"/>
      <c r="AB380" s="13"/>
      <c r="AC380" s="13"/>
      <c r="AD380" s="13"/>
      <c r="AE380" s="13"/>
    </row>
    <row r="381" spans="1:31" ht="20.2" customHeight="1" x14ac:dyDescent="0.3">
      <c r="A381" s="14"/>
      <c r="B381" s="41"/>
      <c r="C381" s="31"/>
      <c r="D381" s="31"/>
      <c r="E381" s="31"/>
      <c r="F381" s="32"/>
      <c r="G381" s="42"/>
      <c r="H381" s="18" t="str">
        <f>IFERROR(VLOOKUP(G381,List2!$B$2:$C$100,2,FALSE), "Kerkali xodim topilmadi")</f>
        <v>Kerkali xodim topilmadi</v>
      </c>
      <c r="I381" s="7" t="str">
        <f>IFERROR(VLOOKUP(G381,List2!$B$2:$D$100,3,FALSE), "Kerkali BO'LIM topilmadi")</f>
        <v>Kerkali BO'LIM topilmadi</v>
      </c>
      <c r="J381" s="31"/>
      <c r="K381" s="43"/>
      <c r="L381" s="31"/>
      <c r="M381" s="31"/>
      <c r="N381" s="31"/>
      <c r="O381" s="31"/>
      <c r="P381" s="44"/>
      <c r="Q381" s="31"/>
      <c r="R381" s="45"/>
      <c r="S381" s="22"/>
      <c r="T381" s="22"/>
      <c r="U381" s="13"/>
      <c r="V381" s="13"/>
      <c r="W381" s="23"/>
      <c r="X381" s="13"/>
      <c r="Y381" s="13"/>
      <c r="Z381" s="13"/>
      <c r="AA381" s="13"/>
      <c r="AB381" s="13"/>
      <c r="AC381" s="13"/>
      <c r="AD381" s="13"/>
      <c r="AE381" s="13"/>
    </row>
    <row r="382" spans="1:31" ht="20.2" customHeight="1" x14ac:dyDescent="0.3">
      <c r="A382" s="14"/>
      <c r="B382" s="41"/>
      <c r="C382" s="31"/>
      <c r="D382" s="31"/>
      <c r="E382" s="31"/>
      <c r="F382" s="32"/>
      <c r="G382" s="42"/>
      <c r="H382" s="18" t="str">
        <f>IFERROR(VLOOKUP(G382,List2!$B$2:$C$100,2,FALSE), "Kerkali xodim topilmadi")</f>
        <v>Kerkali xodim topilmadi</v>
      </c>
      <c r="I382" s="7" t="str">
        <f>IFERROR(VLOOKUP(G382,List2!$B$2:$D$100,3,FALSE), "Kerkali BO'LIM topilmadi")</f>
        <v>Kerkali BO'LIM topilmadi</v>
      </c>
      <c r="J382" s="31"/>
      <c r="K382" s="43"/>
      <c r="L382" s="31"/>
      <c r="M382" s="31"/>
      <c r="N382" s="31"/>
      <c r="O382" s="31"/>
      <c r="P382" s="44"/>
      <c r="Q382" s="31"/>
      <c r="R382" s="45"/>
      <c r="S382" s="22"/>
      <c r="T382" s="22"/>
      <c r="U382" s="13"/>
      <c r="V382" s="13"/>
      <c r="W382" s="23"/>
      <c r="X382" s="13"/>
      <c r="Y382" s="13"/>
      <c r="Z382" s="13"/>
      <c r="AA382" s="13"/>
      <c r="AB382" s="13"/>
      <c r="AC382" s="13"/>
      <c r="AD382" s="13"/>
      <c r="AE382" s="13"/>
    </row>
    <row r="383" spans="1:31" ht="20.2" customHeight="1" x14ac:dyDescent="0.3">
      <c r="A383" s="14"/>
      <c r="B383" s="41"/>
      <c r="C383" s="31"/>
      <c r="D383" s="31"/>
      <c r="E383" s="31"/>
      <c r="F383" s="32"/>
      <c r="G383" s="42"/>
      <c r="H383" s="18" t="str">
        <f>IFERROR(VLOOKUP(G383,List2!$B$2:$C$100,2,FALSE), "Kerkali xodim topilmadi")</f>
        <v>Kerkali xodim topilmadi</v>
      </c>
      <c r="I383" s="7" t="str">
        <f>IFERROR(VLOOKUP(G383,List2!$B$2:$D$100,3,FALSE), "Kerkali BO'LIM topilmadi")</f>
        <v>Kerkali BO'LIM topilmadi</v>
      </c>
      <c r="J383" s="31"/>
      <c r="K383" s="43"/>
      <c r="L383" s="31"/>
      <c r="M383" s="31"/>
      <c r="N383" s="31"/>
      <c r="O383" s="31"/>
      <c r="P383" s="44"/>
      <c r="Q383" s="31"/>
      <c r="R383" s="45"/>
      <c r="S383" s="22"/>
      <c r="T383" s="22"/>
      <c r="U383" s="13"/>
      <c r="V383" s="13"/>
      <c r="W383" s="23"/>
      <c r="X383" s="13"/>
      <c r="Y383" s="13"/>
      <c r="Z383" s="13"/>
      <c r="AA383" s="13"/>
      <c r="AB383" s="13"/>
      <c r="AC383" s="13"/>
      <c r="AD383" s="13"/>
      <c r="AE383" s="13"/>
    </row>
    <row r="384" spans="1:31" ht="20.2" customHeight="1" x14ac:dyDescent="0.3">
      <c r="A384" s="14"/>
      <c r="B384" s="41"/>
      <c r="C384" s="31"/>
      <c r="D384" s="31"/>
      <c r="E384" s="31"/>
      <c r="F384" s="32"/>
      <c r="G384" s="42"/>
      <c r="H384" s="18" t="str">
        <f>IFERROR(VLOOKUP(G384,List2!$B$2:$C$100,2,FALSE), "Kerkali xodim topilmadi")</f>
        <v>Kerkali xodim topilmadi</v>
      </c>
      <c r="I384" s="7" t="str">
        <f>IFERROR(VLOOKUP(G384,List2!$B$2:$D$100,3,FALSE), "Kerkali BO'LIM topilmadi")</f>
        <v>Kerkali BO'LIM topilmadi</v>
      </c>
      <c r="J384" s="31"/>
      <c r="K384" s="43"/>
      <c r="L384" s="31"/>
      <c r="M384" s="31"/>
      <c r="N384" s="31"/>
      <c r="O384" s="31"/>
      <c r="P384" s="44"/>
      <c r="Q384" s="31"/>
      <c r="R384" s="45"/>
      <c r="S384" s="22"/>
      <c r="T384" s="22"/>
      <c r="U384" s="13"/>
      <c r="V384" s="13"/>
      <c r="W384" s="23"/>
      <c r="X384" s="13"/>
      <c r="Y384" s="13"/>
      <c r="Z384" s="13"/>
      <c r="AA384" s="13"/>
      <c r="AB384" s="13"/>
      <c r="AC384" s="13"/>
      <c r="AD384" s="13"/>
      <c r="AE384" s="13"/>
    </row>
    <row r="385" spans="1:31" ht="20.2" customHeight="1" x14ac:dyDescent="0.3">
      <c r="A385" s="14"/>
      <c r="B385" s="41"/>
      <c r="C385" s="31"/>
      <c r="D385" s="31"/>
      <c r="E385" s="31"/>
      <c r="F385" s="32"/>
      <c r="G385" s="42"/>
      <c r="H385" s="18" t="str">
        <f>IFERROR(VLOOKUP(G385,List2!$B$2:$C$100,2,FALSE), "Kerkali xodim topilmadi")</f>
        <v>Kerkali xodim topilmadi</v>
      </c>
      <c r="I385" s="7" t="str">
        <f>IFERROR(VLOOKUP(G385,List2!$B$2:$D$100,3,FALSE), "Kerkali BO'LIM topilmadi")</f>
        <v>Kerkali BO'LIM topilmadi</v>
      </c>
      <c r="J385" s="31"/>
      <c r="K385" s="43"/>
      <c r="L385" s="31"/>
      <c r="M385" s="31"/>
      <c r="N385" s="31"/>
      <c r="O385" s="31"/>
      <c r="P385" s="44"/>
      <c r="Q385" s="31"/>
      <c r="R385" s="45"/>
      <c r="S385" s="22"/>
      <c r="T385" s="22"/>
      <c r="U385" s="13"/>
      <c r="V385" s="13"/>
      <c r="W385" s="23"/>
      <c r="X385" s="13"/>
      <c r="Y385" s="13"/>
      <c r="Z385" s="13"/>
      <c r="AA385" s="13"/>
      <c r="AB385" s="13"/>
      <c r="AC385" s="13"/>
      <c r="AD385" s="13"/>
      <c r="AE385" s="13"/>
    </row>
    <row r="386" spans="1:31" ht="20.2" customHeight="1" x14ac:dyDescent="0.3">
      <c r="A386" s="14"/>
      <c r="B386" s="41"/>
      <c r="C386" s="31"/>
      <c r="D386" s="31"/>
      <c r="E386" s="31"/>
      <c r="F386" s="32"/>
      <c r="G386" s="42"/>
      <c r="H386" s="18" t="str">
        <f>IFERROR(VLOOKUP(G386,List2!$B$2:$C$100,2,FALSE), "Kerkali xodim topilmadi")</f>
        <v>Kerkali xodim topilmadi</v>
      </c>
      <c r="I386" s="7" t="str">
        <f>IFERROR(VLOOKUP(G386,List2!$B$2:$D$100,3,FALSE), "Kerkali BO'LIM topilmadi")</f>
        <v>Kerkali BO'LIM topilmadi</v>
      </c>
      <c r="J386" s="31"/>
      <c r="K386" s="43"/>
      <c r="L386" s="31"/>
      <c r="M386" s="31"/>
      <c r="N386" s="31"/>
      <c r="O386" s="31"/>
      <c r="P386" s="44"/>
      <c r="Q386" s="31"/>
      <c r="R386" s="45"/>
      <c r="S386" s="22"/>
      <c r="T386" s="22"/>
      <c r="U386" s="13"/>
      <c r="V386" s="13"/>
      <c r="W386" s="23"/>
      <c r="X386" s="13"/>
      <c r="Y386" s="13"/>
      <c r="Z386" s="13"/>
      <c r="AA386" s="13"/>
      <c r="AB386" s="13"/>
      <c r="AC386" s="13"/>
      <c r="AD386" s="13"/>
      <c r="AE386" s="13"/>
    </row>
    <row r="387" spans="1:31" ht="20.2" customHeight="1" x14ac:dyDescent="0.3">
      <c r="A387" s="14"/>
      <c r="B387" s="41"/>
      <c r="C387" s="31"/>
      <c r="D387" s="31"/>
      <c r="E387" s="31"/>
      <c r="F387" s="32"/>
      <c r="G387" s="42"/>
      <c r="H387" s="18" t="str">
        <f>IFERROR(VLOOKUP(G387,List2!$B$2:$C$100,2,FALSE), "Kerkali xodim topilmadi")</f>
        <v>Kerkali xodim topilmadi</v>
      </c>
      <c r="I387" s="7" t="str">
        <f>IFERROR(VLOOKUP(G387,List2!$B$2:$D$100,3,FALSE), "Kerkali BO'LIM topilmadi")</f>
        <v>Kerkali BO'LIM topilmadi</v>
      </c>
      <c r="J387" s="31"/>
      <c r="K387" s="43"/>
      <c r="L387" s="31"/>
      <c r="M387" s="31"/>
      <c r="N387" s="31"/>
      <c r="O387" s="31"/>
      <c r="P387" s="44"/>
      <c r="Q387" s="31"/>
      <c r="R387" s="45"/>
      <c r="S387" s="22"/>
      <c r="T387" s="22"/>
      <c r="U387" s="13"/>
      <c r="V387" s="13"/>
      <c r="W387" s="23"/>
      <c r="X387" s="13"/>
      <c r="Y387" s="13"/>
      <c r="Z387" s="13"/>
      <c r="AA387" s="13"/>
      <c r="AB387" s="13"/>
      <c r="AC387" s="13"/>
      <c r="AD387" s="13"/>
      <c r="AE387" s="13"/>
    </row>
    <row r="388" spans="1:31" ht="20.2" customHeight="1" x14ac:dyDescent="0.3">
      <c r="A388" s="14"/>
      <c r="B388" s="41"/>
      <c r="C388" s="31"/>
      <c r="D388" s="31"/>
      <c r="E388" s="31"/>
      <c r="F388" s="32"/>
      <c r="G388" s="42"/>
      <c r="H388" s="18" t="str">
        <f>IFERROR(VLOOKUP(G388,List2!$B$2:$C$100,2,FALSE), "Kerkali xodim topilmadi")</f>
        <v>Kerkali xodim topilmadi</v>
      </c>
      <c r="I388" s="7" t="str">
        <f>IFERROR(VLOOKUP(G388,List2!$B$2:$D$100,3,FALSE), "Kerkali BO'LIM topilmadi")</f>
        <v>Kerkali BO'LIM topilmadi</v>
      </c>
      <c r="J388" s="31"/>
      <c r="K388" s="43"/>
      <c r="L388" s="31"/>
      <c r="M388" s="31"/>
      <c r="N388" s="31"/>
      <c r="O388" s="31"/>
      <c r="P388" s="44"/>
      <c r="Q388" s="31"/>
      <c r="R388" s="45"/>
      <c r="S388" s="22"/>
      <c r="T388" s="22"/>
      <c r="U388" s="13"/>
      <c r="V388" s="13"/>
      <c r="W388" s="23"/>
      <c r="X388" s="13"/>
      <c r="Y388" s="13"/>
      <c r="Z388" s="13"/>
      <c r="AA388" s="13"/>
      <c r="AB388" s="13"/>
      <c r="AC388" s="13"/>
      <c r="AD388" s="13"/>
      <c r="AE388" s="13"/>
    </row>
    <row r="389" spans="1:31" ht="20.2" customHeight="1" x14ac:dyDescent="0.3">
      <c r="A389" s="14"/>
      <c r="B389" s="41"/>
      <c r="C389" s="31"/>
      <c r="D389" s="31"/>
      <c r="E389" s="31"/>
      <c r="F389" s="32"/>
      <c r="G389" s="42"/>
      <c r="H389" s="18" t="str">
        <f>IFERROR(VLOOKUP(G389,List2!$B$2:$C$100,2,FALSE), "Kerkali xodim topilmadi")</f>
        <v>Kerkali xodim topilmadi</v>
      </c>
      <c r="I389" s="7" t="str">
        <f>IFERROR(VLOOKUP(G389,List2!$B$2:$D$100,3,FALSE), "Kerkali BO'LIM topilmadi")</f>
        <v>Kerkali BO'LIM topilmadi</v>
      </c>
      <c r="J389" s="31"/>
      <c r="K389" s="43"/>
      <c r="L389" s="31"/>
      <c r="M389" s="31"/>
      <c r="N389" s="31"/>
      <c r="O389" s="31"/>
      <c r="P389" s="44"/>
      <c r="Q389" s="31"/>
      <c r="R389" s="45"/>
      <c r="S389" s="22"/>
      <c r="T389" s="22"/>
      <c r="U389" s="13"/>
      <c r="V389" s="13"/>
      <c r="W389" s="23"/>
      <c r="X389" s="13"/>
      <c r="Y389" s="13"/>
      <c r="Z389" s="13"/>
      <c r="AA389" s="13"/>
      <c r="AB389" s="13"/>
      <c r="AC389" s="13"/>
      <c r="AD389" s="13"/>
      <c r="AE389" s="13"/>
    </row>
    <row r="390" spans="1:31" ht="20.2" customHeight="1" x14ac:dyDescent="0.3">
      <c r="A390" s="14"/>
      <c r="B390" s="41"/>
      <c r="C390" s="31"/>
      <c r="D390" s="31"/>
      <c r="E390" s="31"/>
      <c r="F390" s="32"/>
      <c r="G390" s="42"/>
      <c r="H390" s="18" t="str">
        <f>IFERROR(VLOOKUP(G390,List2!$B$2:$C$100,2,FALSE), "Kerkali xodim topilmadi")</f>
        <v>Kerkali xodim topilmadi</v>
      </c>
      <c r="I390" s="7" t="str">
        <f>IFERROR(VLOOKUP(G390,List2!$B$2:$D$100,3,FALSE), "Kerkali BO'LIM topilmadi")</f>
        <v>Kerkali BO'LIM topilmadi</v>
      </c>
      <c r="J390" s="31"/>
      <c r="K390" s="43"/>
      <c r="L390" s="31"/>
      <c r="M390" s="31"/>
      <c r="N390" s="31"/>
      <c r="O390" s="31"/>
      <c r="P390" s="44"/>
      <c r="Q390" s="31"/>
      <c r="R390" s="45"/>
      <c r="S390" s="22"/>
      <c r="T390" s="22"/>
      <c r="U390" s="13"/>
      <c r="V390" s="13"/>
      <c r="W390" s="23"/>
      <c r="X390" s="13"/>
      <c r="Y390" s="13"/>
      <c r="Z390" s="13"/>
      <c r="AA390" s="13"/>
      <c r="AB390" s="13"/>
      <c r="AC390" s="13"/>
      <c r="AD390" s="13"/>
      <c r="AE390" s="13"/>
    </row>
    <row r="391" spans="1:31" ht="20.2" customHeight="1" x14ac:dyDescent="0.3">
      <c r="A391" s="14"/>
      <c r="B391" s="41"/>
      <c r="C391" s="31"/>
      <c r="D391" s="31"/>
      <c r="E391" s="31"/>
      <c r="F391" s="32"/>
      <c r="G391" s="42"/>
      <c r="H391" s="18" t="str">
        <f>IFERROR(VLOOKUP(G391,List2!$B$2:$C$100,2,FALSE), "Kerkali xodim topilmadi")</f>
        <v>Kerkali xodim topilmadi</v>
      </c>
      <c r="I391" s="7" t="str">
        <f>IFERROR(VLOOKUP(G391,List2!$B$2:$D$100,3,FALSE), "Kerkali BO'LIM topilmadi")</f>
        <v>Kerkali BO'LIM topilmadi</v>
      </c>
      <c r="J391" s="31"/>
      <c r="K391" s="43"/>
      <c r="L391" s="31"/>
      <c r="M391" s="31"/>
      <c r="N391" s="31"/>
      <c r="O391" s="31"/>
      <c r="P391" s="44"/>
      <c r="Q391" s="31"/>
      <c r="R391" s="45"/>
      <c r="S391" s="22"/>
      <c r="T391" s="22"/>
      <c r="U391" s="13"/>
      <c r="V391" s="13"/>
      <c r="W391" s="23"/>
      <c r="X391" s="13"/>
      <c r="Y391" s="13"/>
      <c r="Z391" s="13"/>
      <c r="AA391" s="13"/>
      <c r="AB391" s="13"/>
      <c r="AC391" s="13"/>
      <c r="AD391" s="13"/>
      <c r="AE391" s="13"/>
    </row>
    <row r="392" spans="1:31" ht="20.2" customHeight="1" x14ac:dyDescent="0.3">
      <c r="A392" s="14"/>
      <c r="B392" s="41"/>
      <c r="C392" s="31"/>
      <c r="D392" s="31"/>
      <c r="E392" s="31"/>
      <c r="F392" s="32"/>
      <c r="G392" s="42"/>
      <c r="H392" s="18" t="str">
        <f>IFERROR(VLOOKUP(G392,List2!$B$2:$C$100,2,FALSE), "Kerkali xodim topilmadi")</f>
        <v>Kerkali xodim topilmadi</v>
      </c>
      <c r="I392" s="7" t="str">
        <f>IFERROR(VLOOKUP(G392,List2!$B$2:$D$100,3,FALSE), "Kerkali BO'LIM topilmadi")</f>
        <v>Kerkali BO'LIM topilmadi</v>
      </c>
      <c r="J392" s="31"/>
      <c r="K392" s="43"/>
      <c r="L392" s="31"/>
      <c r="M392" s="31"/>
      <c r="N392" s="31"/>
      <c r="O392" s="31"/>
      <c r="P392" s="44"/>
      <c r="Q392" s="31"/>
      <c r="R392" s="45"/>
      <c r="S392" s="22"/>
      <c r="T392" s="22"/>
      <c r="U392" s="13"/>
      <c r="V392" s="13"/>
      <c r="W392" s="23"/>
      <c r="X392" s="13"/>
      <c r="Y392" s="13"/>
      <c r="Z392" s="13"/>
      <c r="AA392" s="13"/>
      <c r="AB392" s="13"/>
      <c r="AC392" s="13"/>
      <c r="AD392" s="13"/>
      <c r="AE392" s="13"/>
    </row>
    <row r="393" spans="1:31" ht="20.2" customHeight="1" x14ac:dyDescent="0.3">
      <c r="A393" s="14"/>
      <c r="B393" s="41"/>
      <c r="C393" s="31"/>
      <c r="D393" s="31"/>
      <c r="E393" s="31"/>
      <c r="F393" s="32"/>
      <c r="G393" s="42"/>
      <c r="H393" s="18" t="str">
        <f>IFERROR(VLOOKUP(G393,List2!$B$2:$C$100,2,FALSE), "Kerkali xodim topilmadi")</f>
        <v>Kerkali xodim topilmadi</v>
      </c>
      <c r="I393" s="7" t="str">
        <f>IFERROR(VLOOKUP(G393,List2!$B$2:$D$100,3,FALSE), "Kerkali BO'LIM topilmadi")</f>
        <v>Kerkali BO'LIM topilmadi</v>
      </c>
      <c r="J393" s="31"/>
      <c r="K393" s="43"/>
      <c r="L393" s="31"/>
      <c r="M393" s="31"/>
      <c r="N393" s="31"/>
      <c r="O393" s="31"/>
      <c r="P393" s="44"/>
      <c r="Q393" s="31"/>
      <c r="R393" s="45"/>
      <c r="S393" s="22"/>
      <c r="T393" s="22"/>
      <c r="U393" s="13"/>
      <c r="V393" s="13"/>
      <c r="W393" s="23"/>
      <c r="X393" s="13"/>
      <c r="Y393" s="13"/>
      <c r="Z393" s="13"/>
      <c r="AA393" s="13"/>
      <c r="AB393" s="13"/>
      <c r="AC393" s="13"/>
      <c r="AD393" s="13"/>
      <c r="AE393" s="13"/>
    </row>
    <row r="394" spans="1:31" ht="20.2" customHeight="1" x14ac:dyDescent="0.3">
      <c r="A394" s="14"/>
      <c r="B394" s="41"/>
      <c r="C394" s="31"/>
      <c r="D394" s="31"/>
      <c r="E394" s="31"/>
      <c r="F394" s="32"/>
      <c r="G394" s="42"/>
      <c r="H394" s="18" t="str">
        <f>IFERROR(VLOOKUP(G394,List2!$B$2:$C$100,2,FALSE), "Kerkali xodim topilmadi")</f>
        <v>Kerkali xodim topilmadi</v>
      </c>
      <c r="I394" s="7" t="str">
        <f>IFERROR(VLOOKUP(G394,List2!$B$2:$D$100,3,FALSE), "Kerkali BO'LIM topilmadi")</f>
        <v>Kerkali BO'LIM topilmadi</v>
      </c>
      <c r="J394" s="31"/>
      <c r="K394" s="43"/>
      <c r="L394" s="31"/>
      <c r="M394" s="31"/>
      <c r="N394" s="31"/>
      <c r="O394" s="31"/>
      <c r="P394" s="44"/>
      <c r="Q394" s="31"/>
      <c r="R394" s="45"/>
      <c r="S394" s="22"/>
      <c r="T394" s="22"/>
      <c r="U394" s="13"/>
      <c r="V394" s="13"/>
      <c r="W394" s="23"/>
      <c r="X394" s="13"/>
      <c r="Y394" s="13"/>
      <c r="Z394" s="13"/>
      <c r="AA394" s="13"/>
      <c r="AB394" s="13"/>
      <c r="AC394" s="13"/>
      <c r="AD394" s="13"/>
      <c r="AE394" s="13"/>
    </row>
    <row r="395" spans="1:31" ht="20.2" customHeight="1" x14ac:dyDescent="0.3">
      <c r="A395" s="14"/>
      <c r="B395" s="41"/>
      <c r="C395" s="31"/>
      <c r="D395" s="31"/>
      <c r="E395" s="31"/>
      <c r="F395" s="32"/>
      <c r="G395" s="42"/>
      <c r="H395" s="18" t="str">
        <f>IFERROR(VLOOKUP(G395,List2!$B$2:$C$100,2,FALSE), "Kerkali xodim topilmadi")</f>
        <v>Kerkali xodim topilmadi</v>
      </c>
      <c r="I395" s="7" t="str">
        <f>IFERROR(VLOOKUP(G395,List2!$B$2:$D$100,3,FALSE), "Kerkali BO'LIM topilmadi")</f>
        <v>Kerkali BO'LIM topilmadi</v>
      </c>
      <c r="J395" s="31"/>
      <c r="K395" s="43"/>
      <c r="L395" s="31"/>
      <c r="M395" s="31"/>
      <c r="N395" s="31"/>
      <c r="O395" s="31"/>
      <c r="P395" s="44"/>
      <c r="Q395" s="31"/>
      <c r="R395" s="45"/>
      <c r="S395" s="22"/>
      <c r="T395" s="22"/>
      <c r="U395" s="13"/>
      <c r="V395" s="13"/>
      <c r="W395" s="23"/>
      <c r="X395" s="13"/>
      <c r="Y395" s="13"/>
      <c r="Z395" s="13"/>
      <c r="AA395" s="13"/>
      <c r="AB395" s="13"/>
      <c r="AC395" s="13"/>
      <c r="AD395" s="13"/>
      <c r="AE395" s="13"/>
    </row>
    <row r="396" spans="1:31" ht="20.2" customHeight="1" x14ac:dyDescent="0.3">
      <c r="A396" s="14"/>
      <c r="B396" s="41"/>
      <c r="C396" s="31"/>
      <c r="D396" s="31"/>
      <c r="E396" s="31"/>
      <c r="F396" s="32"/>
      <c r="G396" s="42"/>
      <c r="H396" s="18" t="str">
        <f>IFERROR(VLOOKUP(G396,List2!$B$2:$C$100,2,FALSE), "Kerkali xodim topilmadi")</f>
        <v>Kerkali xodim topilmadi</v>
      </c>
      <c r="I396" s="7" t="str">
        <f>IFERROR(VLOOKUP(G396,List2!$B$2:$D$100,3,FALSE), "Kerkali BO'LIM topilmadi")</f>
        <v>Kerkali BO'LIM topilmadi</v>
      </c>
      <c r="J396" s="31"/>
      <c r="K396" s="43"/>
      <c r="L396" s="31"/>
      <c r="M396" s="31"/>
      <c r="N396" s="31"/>
      <c r="O396" s="31"/>
      <c r="P396" s="44"/>
      <c r="Q396" s="31"/>
      <c r="R396" s="45"/>
      <c r="S396" s="22"/>
      <c r="T396" s="22"/>
      <c r="U396" s="13"/>
      <c r="V396" s="13"/>
      <c r="W396" s="23"/>
      <c r="X396" s="13"/>
      <c r="Y396" s="13"/>
      <c r="Z396" s="13"/>
      <c r="AA396" s="13"/>
      <c r="AB396" s="13"/>
      <c r="AC396" s="13"/>
      <c r="AD396" s="13"/>
      <c r="AE396" s="13"/>
    </row>
    <row r="397" spans="1:31" ht="20.2" customHeight="1" x14ac:dyDescent="0.3">
      <c r="A397" s="14"/>
      <c r="B397" s="41"/>
      <c r="C397" s="31"/>
      <c r="D397" s="31"/>
      <c r="E397" s="31"/>
      <c r="F397" s="32"/>
      <c r="G397" s="42"/>
      <c r="H397" s="18" t="str">
        <f>IFERROR(VLOOKUP(G397,List2!$B$2:$C$100,2,FALSE), "Kerkali xodim topilmadi")</f>
        <v>Kerkali xodim topilmadi</v>
      </c>
      <c r="I397" s="7" t="str">
        <f>IFERROR(VLOOKUP(G397,List2!$B$2:$D$100,3,FALSE), "Kerkali BO'LIM topilmadi")</f>
        <v>Kerkali BO'LIM topilmadi</v>
      </c>
      <c r="J397" s="31"/>
      <c r="K397" s="43"/>
      <c r="L397" s="31"/>
      <c r="M397" s="31"/>
      <c r="N397" s="31"/>
      <c r="O397" s="31"/>
      <c r="P397" s="44"/>
      <c r="Q397" s="31"/>
      <c r="R397" s="45"/>
      <c r="S397" s="22"/>
      <c r="T397" s="22"/>
      <c r="U397" s="13"/>
      <c r="V397" s="13"/>
      <c r="W397" s="23"/>
      <c r="X397" s="13"/>
      <c r="Y397" s="13"/>
      <c r="Z397" s="13"/>
      <c r="AA397" s="13"/>
      <c r="AB397" s="13"/>
      <c r="AC397" s="13"/>
      <c r="AD397" s="13"/>
      <c r="AE397" s="13"/>
    </row>
    <row r="398" spans="1:31" ht="20.2" customHeight="1" x14ac:dyDescent="0.3">
      <c r="A398" s="14"/>
      <c r="B398" s="41"/>
      <c r="C398" s="31"/>
      <c r="D398" s="31"/>
      <c r="E398" s="31"/>
      <c r="F398" s="32"/>
      <c r="G398" s="42"/>
      <c r="H398" s="18" t="str">
        <f>IFERROR(VLOOKUP(G398,List2!$B$2:$C$100,2,FALSE), "Kerkali xodim topilmadi")</f>
        <v>Kerkali xodim topilmadi</v>
      </c>
      <c r="I398" s="7" t="str">
        <f>IFERROR(VLOOKUP(G398,List2!$B$2:$D$100,3,FALSE), "Kerkali BO'LIM topilmadi")</f>
        <v>Kerkali BO'LIM topilmadi</v>
      </c>
      <c r="J398" s="31"/>
      <c r="K398" s="43"/>
      <c r="L398" s="31"/>
      <c r="M398" s="31"/>
      <c r="N398" s="31"/>
      <c r="O398" s="31"/>
      <c r="P398" s="44"/>
      <c r="Q398" s="31"/>
      <c r="R398" s="45"/>
      <c r="S398" s="22"/>
      <c r="T398" s="22"/>
      <c r="U398" s="13"/>
      <c r="V398" s="13"/>
      <c r="W398" s="23"/>
      <c r="X398" s="13"/>
      <c r="Y398" s="13"/>
      <c r="Z398" s="13"/>
      <c r="AA398" s="13"/>
      <c r="AB398" s="13"/>
      <c r="AC398" s="13"/>
      <c r="AD398" s="13"/>
      <c r="AE398" s="13"/>
    </row>
    <row r="399" spans="1:31" ht="20.2" customHeight="1" x14ac:dyDescent="0.3">
      <c r="A399" s="14"/>
      <c r="B399" s="41"/>
      <c r="C399" s="31"/>
      <c r="D399" s="31"/>
      <c r="E399" s="31"/>
      <c r="F399" s="32"/>
      <c r="G399" s="42"/>
      <c r="H399" s="18" t="str">
        <f>IFERROR(VLOOKUP(G399,List2!$B$2:$C$100,2,FALSE), "Kerkali xodim topilmadi")</f>
        <v>Kerkali xodim topilmadi</v>
      </c>
      <c r="I399" s="7" t="str">
        <f>IFERROR(VLOOKUP(G399,List2!$B$2:$D$100,3,FALSE), "Kerkali BO'LIM topilmadi")</f>
        <v>Kerkali BO'LIM topilmadi</v>
      </c>
      <c r="J399" s="31"/>
      <c r="K399" s="43"/>
      <c r="L399" s="31"/>
      <c r="M399" s="31"/>
      <c r="N399" s="31"/>
      <c r="O399" s="31"/>
      <c r="P399" s="44"/>
      <c r="Q399" s="31"/>
      <c r="R399" s="45"/>
      <c r="S399" s="22"/>
      <c r="T399" s="22"/>
      <c r="U399" s="13"/>
      <c r="V399" s="13"/>
      <c r="W399" s="23"/>
      <c r="X399" s="13"/>
      <c r="Y399" s="13"/>
      <c r="Z399" s="13"/>
      <c r="AA399" s="13"/>
      <c r="AB399" s="13"/>
      <c r="AC399" s="13"/>
      <c r="AD399" s="13"/>
      <c r="AE399" s="13"/>
    </row>
    <row r="400" spans="1:31" ht="20.2" customHeight="1" x14ac:dyDescent="0.3">
      <c r="A400" s="14"/>
      <c r="B400" s="41"/>
      <c r="C400" s="31"/>
      <c r="D400" s="31"/>
      <c r="E400" s="31"/>
      <c r="F400" s="32"/>
      <c r="G400" s="42"/>
      <c r="H400" s="18" t="str">
        <f>IFERROR(VLOOKUP(G400,List2!$B$2:$C$100,2,FALSE), "Kerkali xodim topilmadi")</f>
        <v>Kerkali xodim topilmadi</v>
      </c>
      <c r="I400" s="7" t="str">
        <f>IFERROR(VLOOKUP(G400,List2!$B$2:$D$100,3,FALSE), "Kerkali BO'LIM topilmadi")</f>
        <v>Kerkali BO'LIM topilmadi</v>
      </c>
      <c r="J400" s="31"/>
      <c r="K400" s="43"/>
      <c r="L400" s="31"/>
      <c r="M400" s="31"/>
      <c r="N400" s="31"/>
      <c r="O400" s="31"/>
      <c r="P400" s="44"/>
      <c r="Q400" s="31"/>
      <c r="R400" s="45"/>
      <c r="S400" s="22"/>
      <c r="T400" s="22"/>
      <c r="U400" s="13"/>
      <c r="V400" s="13"/>
      <c r="W400" s="23"/>
      <c r="X400" s="13"/>
      <c r="Y400" s="13"/>
      <c r="Z400" s="13"/>
      <c r="AA400" s="13"/>
      <c r="AB400" s="13"/>
      <c r="AC400" s="13"/>
      <c r="AD400" s="13"/>
      <c r="AE400" s="13"/>
    </row>
    <row r="401" spans="1:31" ht="20.2" customHeight="1" x14ac:dyDescent="0.3">
      <c r="A401" s="14"/>
      <c r="B401" s="41"/>
      <c r="C401" s="31"/>
      <c r="D401" s="31"/>
      <c r="E401" s="31"/>
      <c r="F401" s="32"/>
      <c r="G401" s="42"/>
      <c r="H401" s="18" t="str">
        <f>IFERROR(VLOOKUP(G401,List2!$B$2:$C$100,2,FALSE), "Kerkali xodim topilmadi")</f>
        <v>Kerkali xodim topilmadi</v>
      </c>
      <c r="I401" s="7" t="str">
        <f>IFERROR(VLOOKUP(G401,List2!$B$2:$D$100,3,FALSE), "Kerkali BO'LIM topilmadi")</f>
        <v>Kerkali BO'LIM topilmadi</v>
      </c>
      <c r="J401" s="31"/>
      <c r="K401" s="43"/>
      <c r="L401" s="31"/>
      <c r="M401" s="31"/>
      <c r="N401" s="31"/>
      <c r="O401" s="31"/>
      <c r="P401" s="44"/>
      <c r="Q401" s="31"/>
      <c r="R401" s="45"/>
      <c r="S401" s="22"/>
      <c r="T401" s="22"/>
      <c r="U401" s="13"/>
      <c r="V401" s="13"/>
      <c r="W401" s="23"/>
      <c r="X401" s="13"/>
      <c r="Y401" s="13"/>
      <c r="Z401" s="13"/>
      <c r="AA401" s="13"/>
      <c r="AB401" s="13"/>
      <c r="AC401" s="13"/>
      <c r="AD401" s="13"/>
      <c r="AE401" s="13"/>
    </row>
    <row r="402" spans="1:31" ht="20.2" customHeight="1" x14ac:dyDescent="0.3">
      <c r="A402" s="14"/>
      <c r="B402" s="41"/>
      <c r="C402" s="31"/>
      <c r="D402" s="31"/>
      <c r="E402" s="31"/>
      <c r="F402" s="32"/>
      <c r="G402" s="42"/>
      <c r="H402" s="18" t="str">
        <f>IFERROR(VLOOKUP(G402,List2!$B$2:$C$100,2,FALSE), "Kerkali xodim topilmadi")</f>
        <v>Kerkali xodim topilmadi</v>
      </c>
      <c r="I402" s="7" t="str">
        <f>IFERROR(VLOOKUP(G402,List2!$B$2:$D$100,3,FALSE), "Kerkali BO'LIM topilmadi")</f>
        <v>Kerkali BO'LIM topilmadi</v>
      </c>
      <c r="J402" s="31"/>
      <c r="K402" s="43"/>
      <c r="L402" s="31"/>
      <c r="M402" s="31"/>
      <c r="N402" s="31"/>
      <c r="O402" s="31"/>
      <c r="P402" s="44"/>
      <c r="Q402" s="31"/>
      <c r="R402" s="45"/>
      <c r="S402" s="22"/>
      <c r="T402" s="22"/>
      <c r="U402" s="13"/>
      <c r="V402" s="13"/>
      <c r="W402" s="23"/>
      <c r="X402" s="13"/>
      <c r="Y402" s="13"/>
      <c r="Z402" s="13"/>
      <c r="AA402" s="13"/>
      <c r="AB402" s="13"/>
      <c r="AC402" s="13"/>
      <c r="AD402" s="13"/>
      <c r="AE402" s="13"/>
    </row>
    <row r="403" spans="1:31" ht="20.2" customHeight="1" x14ac:dyDescent="0.3">
      <c r="A403" s="14"/>
      <c r="B403" s="41"/>
      <c r="C403" s="31"/>
      <c r="D403" s="31"/>
      <c r="E403" s="31"/>
      <c r="F403" s="32"/>
      <c r="G403" s="42"/>
      <c r="H403" s="18" t="str">
        <f>IFERROR(VLOOKUP(G403,List2!$B$2:$C$100,2,FALSE), "Kerkali xodim topilmadi")</f>
        <v>Kerkali xodim topilmadi</v>
      </c>
      <c r="I403" s="7" t="str">
        <f>IFERROR(VLOOKUP(G403,List2!$B$2:$D$100,3,FALSE), "Kerkali BO'LIM topilmadi")</f>
        <v>Kerkali BO'LIM topilmadi</v>
      </c>
      <c r="J403" s="31"/>
      <c r="K403" s="43"/>
      <c r="L403" s="31"/>
      <c r="M403" s="31"/>
      <c r="N403" s="31"/>
      <c r="O403" s="31"/>
      <c r="P403" s="44"/>
      <c r="Q403" s="31"/>
      <c r="R403" s="45"/>
      <c r="S403" s="22"/>
      <c r="T403" s="22"/>
      <c r="U403" s="13"/>
      <c r="V403" s="13"/>
      <c r="W403" s="23"/>
      <c r="X403" s="13"/>
      <c r="Y403" s="13"/>
      <c r="Z403" s="13"/>
      <c r="AA403" s="13"/>
      <c r="AB403" s="13"/>
      <c r="AC403" s="13"/>
      <c r="AD403" s="13"/>
      <c r="AE403" s="13"/>
    </row>
    <row r="404" spans="1:31" ht="20.2" customHeight="1" x14ac:dyDescent="0.3">
      <c r="A404" s="14"/>
      <c r="B404" s="41"/>
      <c r="C404" s="31"/>
      <c r="D404" s="31"/>
      <c r="E404" s="31"/>
      <c r="F404" s="32"/>
      <c r="G404" s="42"/>
      <c r="H404" s="18" t="str">
        <f>IFERROR(VLOOKUP(G404,List2!$B$2:$C$100,2,FALSE), "Kerkali xodim topilmadi")</f>
        <v>Kerkali xodim topilmadi</v>
      </c>
      <c r="I404" s="7" t="str">
        <f>IFERROR(VLOOKUP(G404,List2!$B$2:$D$100,3,FALSE), "Kerkali BO'LIM topilmadi")</f>
        <v>Kerkali BO'LIM topilmadi</v>
      </c>
      <c r="J404" s="31"/>
      <c r="K404" s="43"/>
      <c r="L404" s="31"/>
      <c r="M404" s="31"/>
      <c r="N404" s="31"/>
      <c r="O404" s="31"/>
      <c r="P404" s="44"/>
      <c r="Q404" s="31"/>
      <c r="R404" s="45"/>
      <c r="S404" s="22"/>
      <c r="T404" s="22"/>
      <c r="U404" s="13"/>
      <c r="V404" s="13"/>
      <c r="W404" s="23"/>
      <c r="X404" s="13"/>
      <c r="Y404" s="13"/>
      <c r="Z404" s="13"/>
      <c r="AA404" s="13"/>
      <c r="AB404" s="13"/>
      <c r="AC404" s="13"/>
      <c r="AD404" s="13"/>
      <c r="AE404" s="13"/>
    </row>
    <row r="405" spans="1:31" ht="20.2" customHeight="1" x14ac:dyDescent="0.3">
      <c r="A405" s="14"/>
      <c r="B405" s="41"/>
      <c r="C405" s="31"/>
      <c r="D405" s="31"/>
      <c r="E405" s="31"/>
      <c r="F405" s="32"/>
      <c r="G405" s="42"/>
      <c r="H405" s="18" t="str">
        <f>IFERROR(VLOOKUP(G405,List2!$B$2:$C$100,2,FALSE), "Kerkali xodim topilmadi")</f>
        <v>Kerkali xodim topilmadi</v>
      </c>
      <c r="I405" s="7" t="str">
        <f>IFERROR(VLOOKUP(G405,List2!$B$2:$D$100,3,FALSE), "Kerkali BO'LIM topilmadi")</f>
        <v>Kerkali BO'LIM topilmadi</v>
      </c>
      <c r="J405" s="31"/>
      <c r="K405" s="43"/>
      <c r="L405" s="31"/>
      <c r="M405" s="31"/>
      <c r="N405" s="31"/>
      <c r="O405" s="31"/>
      <c r="P405" s="44"/>
      <c r="Q405" s="31"/>
      <c r="R405" s="45"/>
      <c r="S405" s="22"/>
      <c r="T405" s="22"/>
      <c r="U405" s="13"/>
      <c r="V405" s="13"/>
      <c r="W405" s="23"/>
      <c r="X405" s="13"/>
      <c r="Y405" s="13"/>
      <c r="Z405" s="13"/>
      <c r="AA405" s="13"/>
      <c r="AB405" s="13"/>
      <c r="AC405" s="13"/>
      <c r="AD405" s="13"/>
      <c r="AE405" s="13"/>
    </row>
    <row r="406" spans="1:31" ht="20.2" customHeight="1" x14ac:dyDescent="0.3">
      <c r="A406" s="14"/>
      <c r="B406" s="41"/>
      <c r="C406" s="31"/>
      <c r="D406" s="31"/>
      <c r="E406" s="31"/>
      <c r="F406" s="32"/>
      <c r="G406" s="42"/>
      <c r="H406" s="18" t="str">
        <f>IFERROR(VLOOKUP(G406,List2!$B$2:$C$100,2,FALSE), "Kerkali xodim topilmadi")</f>
        <v>Kerkali xodim topilmadi</v>
      </c>
      <c r="I406" s="7" t="str">
        <f>IFERROR(VLOOKUP(G406,List2!$B$2:$D$100,3,FALSE), "Kerkali BO'LIM topilmadi")</f>
        <v>Kerkali BO'LIM topilmadi</v>
      </c>
      <c r="J406" s="31"/>
      <c r="K406" s="43"/>
      <c r="L406" s="31"/>
      <c r="M406" s="31"/>
      <c r="N406" s="31"/>
      <c r="O406" s="31"/>
      <c r="P406" s="44"/>
      <c r="Q406" s="31"/>
      <c r="R406" s="45"/>
      <c r="S406" s="22"/>
      <c r="T406" s="22"/>
      <c r="U406" s="13"/>
      <c r="V406" s="13"/>
      <c r="W406" s="23"/>
      <c r="X406" s="13"/>
      <c r="Y406" s="13"/>
      <c r="Z406" s="13"/>
      <c r="AA406" s="13"/>
      <c r="AB406" s="13"/>
      <c r="AC406" s="13"/>
      <c r="AD406" s="13"/>
      <c r="AE406" s="13"/>
    </row>
    <row r="407" spans="1:31" ht="20.2" customHeight="1" x14ac:dyDescent="0.3">
      <c r="A407" s="14"/>
      <c r="B407" s="41"/>
      <c r="C407" s="31"/>
      <c r="D407" s="31"/>
      <c r="E407" s="31"/>
      <c r="F407" s="32"/>
      <c r="G407" s="42"/>
      <c r="H407" s="18" t="str">
        <f>IFERROR(VLOOKUP(G407,List2!$B$2:$C$100,2,FALSE), "Kerkali xodim topilmadi")</f>
        <v>Kerkali xodim topilmadi</v>
      </c>
      <c r="I407" s="7" t="str">
        <f>IFERROR(VLOOKUP(G407,List2!$B$2:$D$100,3,FALSE), "Kerkali BO'LIM topilmadi")</f>
        <v>Kerkali BO'LIM topilmadi</v>
      </c>
      <c r="J407" s="31"/>
      <c r="K407" s="43"/>
      <c r="L407" s="31"/>
      <c r="M407" s="31"/>
      <c r="N407" s="31"/>
      <c r="O407" s="31"/>
      <c r="P407" s="44"/>
      <c r="Q407" s="31"/>
      <c r="R407" s="45"/>
      <c r="S407" s="22"/>
      <c r="T407" s="22"/>
      <c r="U407" s="13"/>
      <c r="V407" s="13"/>
      <c r="W407" s="23"/>
      <c r="X407" s="13"/>
      <c r="Y407" s="13"/>
      <c r="Z407" s="13"/>
      <c r="AA407" s="13"/>
      <c r="AB407" s="13"/>
      <c r="AC407" s="13"/>
      <c r="AD407" s="13"/>
      <c r="AE407" s="13"/>
    </row>
    <row r="408" spans="1:31" ht="20.2" customHeight="1" x14ac:dyDescent="0.3">
      <c r="A408" s="14"/>
      <c r="B408" s="41"/>
      <c r="C408" s="31"/>
      <c r="D408" s="31"/>
      <c r="E408" s="31"/>
      <c r="F408" s="32"/>
      <c r="G408" s="42"/>
      <c r="H408" s="18" t="str">
        <f>IFERROR(VLOOKUP(G408,List2!$B$2:$C$100,2,FALSE), "Kerkali xodim topilmadi")</f>
        <v>Kerkali xodim topilmadi</v>
      </c>
      <c r="I408" s="7" t="str">
        <f>IFERROR(VLOOKUP(G408,List2!$B$2:$D$100,3,FALSE), "Kerkali BO'LIM topilmadi")</f>
        <v>Kerkali BO'LIM topilmadi</v>
      </c>
      <c r="J408" s="31"/>
      <c r="K408" s="43"/>
      <c r="L408" s="31"/>
      <c r="M408" s="31"/>
      <c r="N408" s="31"/>
      <c r="O408" s="31"/>
      <c r="P408" s="44"/>
      <c r="Q408" s="31"/>
      <c r="R408" s="45"/>
      <c r="S408" s="22"/>
      <c r="T408" s="22"/>
      <c r="U408" s="13"/>
      <c r="V408" s="13"/>
      <c r="W408" s="23"/>
      <c r="X408" s="13"/>
      <c r="Y408" s="13"/>
      <c r="Z408" s="13"/>
      <c r="AA408" s="13"/>
      <c r="AB408" s="13"/>
      <c r="AC408" s="13"/>
      <c r="AD408" s="13"/>
      <c r="AE408" s="13"/>
    </row>
    <row r="409" spans="1:31" ht="20.2" customHeight="1" x14ac:dyDescent="0.3">
      <c r="A409" s="14"/>
      <c r="B409" s="41"/>
      <c r="C409" s="31"/>
      <c r="D409" s="31"/>
      <c r="E409" s="31"/>
      <c r="F409" s="32"/>
      <c r="G409" s="42"/>
      <c r="H409" s="18" t="str">
        <f>IFERROR(VLOOKUP(G409,List2!$B$2:$C$100,2,FALSE), "Kerkali xodim topilmadi")</f>
        <v>Kerkali xodim topilmadi</v>
      </c>
      <c r="I409" s="7" t="str">
        <f>IFERROR(VLOOKUP(G409,List2!$B$2:$D$100,3,FALSE), "Kerkali BO'LIM topilmadi")</f>
        <v>Kerkali BO'LIM topilmadi</v>
      </c>
      <c r="J409" s="31"/>
      <c r="K409" s="43"/>
      <c r="L409" s="31"/>
      <c r="M409" s="31"/>
      <c r="N409" s="31"/>
      <c r="O409" s="31"/>
      <c r="P409" s="44"/>
      <c r="Q409" s="31"/>
      <c r="R409" s="45"/>
      <c r="S409" s="22"/>
      <c r="T409" s="22"/>
      <c r="U409" s="13"/>
      <c r="V409" s="13"/>
      <c r="W409" s="23"/>
      <c r="X409" s="13"/>
      <c r="Y409" s="13"/>
      <c r="Z409" s="13"/>
      <c r="AA409" s="13"/>
      <c r="AB409" s="13"/>
      <c r="AC409" s="13"/>
      <c r="AD409" s="13"/>
      <c r="AE409" s="13"/>
    </row>
    <row r="410" spans="1:31" ht="20.2" customHeight="1" x14ac:dyDescent="0.3">
      <c r="A410" s="14"/>
      <c r="B410" s="41"/>
      <c r="C410" s="31"/>
      <c r="D410" s="31"/>
      <c r="E410" s="31"/>
      <c r="F410" s="32"/>
      <c r="G410" s="42"/>
      <c r="H410" s="18" t="str">
        <f>IFERROR(VLOOKUP(G410,List2!$B$2:$C$100,2,FALSE), "Kerkali xodim topilmadi")</f>
        <v>Kerkali xodim topilmadi</v>
      </c>
      <c r="I410" s="7" t="str">
        <f>IFERROR(VLOOKUP(G410,List2!$B$2:$D$100,3,FALSE), "Kerkali BO'LIM topilmadi")</f>
        <v>Kerkali BO'LIM topilmadi</v>
      </c>
      <c r="J410" s="31"/>
      <c r="K410" s="43"/>
      <c r="L410" s="31"/>
      <c r="M410" s="31"/>
      <c r="N410" s="31"/>
      <c r="O410" s="31"/>
      <c r="P410" s="44"/>
      <c r="Q410" s="31"/>
      <c r="R410" s="45"/>
      <c r="S410" s="22"/>
      <c r="T410" s="22"/>
      <c r="U410" s="13"/>
      <c r="V410" s="13"/>
      <c r="W410" s="23"/>
      <c r="X410" s="13"/>
      <c r="Y410" s="13"/>
      <c r="Z410" s="13"/>
      <c r="AA410" s="13"/>
      <c r="AB410" s="13"/>
      <c r="AC410" s="13"/>
      <c r="AD410" s="13"/>
      <c r="AE410" s="13"/>
    </row>
    <row r="411" spans="1:31" ht="20.2" customHeight="1" x14ac:dyDescent="0.3">
      <c r="A411" s="14"/>
      <c r="B411" s="41"/>
      <c r="C411" s="31"/>
      <c r="D411" s="31"/>
      <c r="E411" s="31"/>
      <c r="F411" s="32"/>
      <c r="G411" s="42"/>
      <c r="H411" s="18" t="str">
        <f>IFERROR(VLOOKUP(G411,List2!$B$2:$C$100,2,FALSE), "Kerkali xodim topilmadi")</f>
        <v>Kerkali xodim topilmadi</v>
      </c>
      <c r="I411" s="7" t="str">
        <f>IFERROR(VLOOKUP(G411,List2!$B$2:$D$100,3,FALSE), "Kerkali BO'LIM topilmadi")</f>
        <v>Kerkali BO'LIM topilmadi</v>
      </c>
      <c r="J411" s="31"/>
      <c r="K411" s="43"/>
      <c r="L411" s="31"/>
      <c r="M411" s="31"/>
      <c r="N411" s="31"/>
      <c r="O411" s="31"/>
      <c r="P411" s="44"/>
      <c r="Q411" s="31"/>
      <c r="R411" s="45"/>
      <c r="S411" s="22"/>
      <c r="T411" s="22"/>
      <c r="U411" s="13"/>
      <c r="V411" s="13"/>
      <c r="W411" s="23"/>
      <c r="X411" s="13"/>
      <c r="Y411" s="13"/>
      <c r="Z411" s="13"/>
      <c r="AA411" s="13"/>
      <c r="AB411" s="13"/>
      <c r="AC411" s="13"/>
      <c r="AD411" s="13"/>
      <c r="AE411" s="13"/>
    </row>
    <row r="412" spans="1:31" ht="20.2" customHeight="1" x14ac:dyDescent="0.3">
      <c r="A412" s="14"/>
      <c r="B412" s="41"/>
      <c r="C412" s="31"/>
      <c r="D412" s="31"/>
      <c r="E412" s="31"/>
      <c r="F412" s="32"/>
      <c r="G412" s="42"/>
      <c r="H412" s="18" t="str">
        <f>IFERROR(VLOOKUP(G412,List2!$B$2:$C$100,2,FALSE), "Kerkali xodim topilmadi")</f>
        <v>Kerkali xodim topilmadi</v>
      </c>
      <c r="I412" s="7" t="str">
        <f>IFERROR(VLOOKUP(G412,List2!$B$2:$D$100,3,FALSE), "Kerkali BO'LIM topilmadi")</f>
        <v>Kerkali BO'LIM topilmadi</v>
      </c>
      <c r="J412" s="31"/>
      <c r="K412" s="43"/>
      <c r="L412" s="31"/>
      <c r="M412" s="31"/>
      <c r="N412" s="31"/>
      <c r="O412" s="31"/>
      <c r="P412" s="44"/>
      <c r="Q412" s="31"/>
      <c r="R412" s="45"/>
      <c r="S412" s="22"/>
      <c r="T412" s="22"/>
      <c r="U412" s="13"/>
      <c r="V412" s="13"/>
      <c r="W412" s="23"/>
      <c r="X412" s="13"/>
      <c r="Y412" s="13"/>
      <c r="Z412" s="13"/>
      <c r="AA412" s="13"/>
      <c r="AB412" s="13"/>
      <c r="AC412" s="13"/>
      <c r="AD412" s="13"/>
      <c r="AE412" s="13"/>
    </row>
    <row r="413" spans="1:31" ht="20.2" customHeight="1" x14ac:dyDescent="0.3">
      <c r="A413" s="14"/>
      <c r="B413" s="41"/>
      <c r="C413" s="31"/>
      <c r="D413" s="31"/>
      <c r="E413" s="31"/>
      <c r="F413" s="32"/>
      <c r="G413" s="42"/>
      <c r="H413" s="18" t="str">
        <f>IFERROR(VLOOKUP(G413,List2!$B$2:$C$100,2,FALSE), "Kerkali xodim topilmadi")</f>
        <v>Kerkali xodim topilmadi</v>
      </c>
      <c r="I413" s="7" t="str">
        <f>IFERROR(VLOOKUP(G413,List2!$B$2:$D$100,3,FALSE), "Kerkali BO'LIM topilmadi")</f>
        <v>Kerkali BO'LIM topilmadi</v>
      </c>
      <c r="J413" s="31"/>
      <c r="K413" s="43"/>
      <c r="L413" s="31"/>
      <c r="M413" s="31"/>
      <c r="N413" s="31"/>
      <c r="O413" s="31"/>
      <c r="P413" s="44"/>
      <c r="Q413" s="31"/>
      <c r="R413" s="45"/>
      <c r="S413" s="22"/>
      <c r="T413" s="22"/>
      <c r="U413" s="13"/>
      <c r="V413" s="13"/>
      <c r="W413" s="23"/>
      <c r="X413" s="13"/>
      <c r="Y413" s="13"/>
      <c r="Z413" s="13"/>
      <c r="AA413" s="13"/>
      <c r="AB413" s="13"/>
      <c r="AC413" s="13"/>
      <c r="AD413" s="13"/>
      <c r="AE413" s="13"/>
    </row>
    <row r="414" spans="1:31" ht="20.2" customHeight="1" x14ac:dyDescent="0.3">
      <c r="A414" s="14"/>
      <c r="B414" s="41"/>
      <c r="C414" s="31"/>
      <c r="D414" s="31"/>
      <c r="E414" s="31"/>
      <c r="F414" s="32"/>
      <c r="G414" s="42"/>
      <c r="H414" s="18" t="str">
        <f>IFERROR(VLOOKUP(G414,List2!$B$2:$C$100,2,FALSE), "Kerkali xodim topilmadi")</f>
        <v>Kerkali xodim topilmadi</v>
      </c>
      <c r="I414" s="7" t="str">
        <f>IFERROR(VLOOKUP(G414,List2!$B$2:$D$100,3,FALSE), "Kerkali BO'LIM topilmadi")</f>
        <v>Kerkali BO'LIM topilmadi</v>
      </c>
      <c r="J414" s="31"/>
      <c r="K414" s="43"/>
      <c r="L414" s="31"/>
      <c r="M414" s="31"/>
      <c r="N414" s="31"/>
      <c r="O414" s="31"/>
      <c r="P414" s="44"/>
      <c r="Q414" s="31"/>
      <c r="R414" s="45"/>
      <c r="S414" s="22"/>
      <c r="T414" s="22"/>
      <c r="U414" s="13"/>
      <c r="V414" s="13"/>
      <c r="W414" s="23"/>
      <c r="X414" s="13"/>
      <c r="Y414" s="13"/>
      <c r="Z414" s="13"/>
      <c r="AA414" s="13"/>
      <c r="AB414" s="13"/>
      <c r="AC414" s="13"/>
      <c r="AD414" s="13"/>
      <c r="AE414" s="13"/>
    </row>
    <row r="415" spans="1:31" ht="20.2" customHeight="1" x14ac:dyDescent="0.3">
      <c r="A415" s="14"/>
      <c r="B415" s="41"/>
      <c r="C415" s="31"/>
      <c r="D415" s="31"/>
      <c r="E415" s="31"/>
      <c r="F415" s="32"/>
      <c r="G415" s="42"/>
      <c r="H415" s="18" t="str">
        <f>IFERROR(VLOOKUP(G415,List2!$B$2:$C$100,2,FALSE), "Kerkali xodim topilmadi")</f>
        <v>Kerkali xodim topilmadi</v>
      </c>
      <c r="I415" s="7" t="str">
        <f>IFERROR(VLOOKUP(G415,List2!$B$2:$D$100,3,FALSE), "Kerkali BO'LIM topilmadi")</f>
        <v>Kerkali BO'LIM topilmadi</v>
      </c>
      <c r="J415" s="31"/>
      <c r="K415" s="43"/>
      <c r="L415" s="31"/>
      <c r="M415" s="31"/>
      <c r="N415" s="31"/>
      <c r="O415" s="31"/>
      <c r="P415" s="44"/>
      <c r="Q415" s="31"/>
      <c r="R415" s="45"/>
      <c r="S415" s="22"/>
      <c r="T415" s="22"/>
      <c r="U415" s="13"/>
      <c r="V415" s="13"/>
      <c r="W415" s="23"/>
      <c r="X415" s="13"/>
      <c r="Y415" s="13"/>
      <c r="Z415" s="13"/>
      <c r="AA415" s="13"/>
      <c r="AB415" s="13"/>
      <c r="AC415" s="13"/>
      <c r="AD415" s="13"/>
      <c r="AE415" s="13"/>
    </row>
    <row r="416" spans="1:31" ht="20.2" customHeight="1" x14ac:dyDescent="0.3">
      <c r="A416" s="14"/>
      <c r="B416" s="41"/>
      <c r="C416" s="31"/>
      <c r="D416" s="31"/>
      <c r="E416" s="31"/>
      <c r="F416" s="32"/>
      <c r="G416" s="42"/>
      <c r="H416" s="18" t="str">
        <f>IFERROR(VLOOKUP(G416,List2!$B$2:$C$100,2,FALSE), "Kerkali xodim topilmadi")</f>
        <v>Kerkali xodim topilmadi</v>
      </c>
      <c r="I416" s="7" t="str">
        <f>IFERROR(VLOOKUP(G416,List2!$B$2:$D$100,3,FALSE), "Kerkali BO'LIM topilmadi")</f>
        <v>Kerkali BO'LIM topilmadi</v>
      </c>
      <c r="J416" s="31"/>
      <c r="K416" s="43"/>
      <c r="L416" s="31"/>
      <c r="M416" s="31"/>
      <c r="N416" s="31"/>
      <c r="O416" s="31"/>
      <c r="P416" s="44"/>
      <c r="Q416" s="31"/>
      <c r="R416" s="45"/>
      <c r="S416" s="22"/>
      <c r="T416" s="22"/>
      <c r="U416" s="13"/>
      <c r="V416" s="13"/>
      <c r="W416" s="23"/>
      <c r="X416" s="13"/>
      <c r="Y416" s="13"/>
      <c r="Z416" s="13"/>
      <c r="AA416" s="13"/>
      <c r="AB416" s="13"/>
      <c r="AC416" s="13"/>
      <c r="AD416" s="13"/>
      <c r="AE416" s="13"/>
    </row>
    <row r="417" spans="1:31" ht="20.2" customHeight="1" x14ac:dyDescent="0.3">
      <c r="A417" s="14"/>
      <c r="B417" s="41"/>
      <c r="C417" s="31"/>
      <c r="D417" s="31"/>
      <c r="E417" s="31"/>
      <c r="F417" s="32"/>
      <c r="G417" s="42"/>
      <c r="H417" s="18" t="str">
        <f>IFERROR(VLOOKUP(G417,List2!$B$2:$C$100,2,FALSE), "Kerkali xodim topilmadi")</f>
        <v>Kerkali xodim topilmadi</v>
      </c>
      <c r="I417" s="7" t="str">
        <f>IFERROR(VLOOKUP(G417,List2!$B$2:$D$100,3,FALSE), "Kerkali BO'LIM topilmadi")</f>
        <v>Kerkali BO'LIM topilmadi</v>
      </c>
      <c r="J417" s="31"/>
      <c r="K417" s="43"/>
      <c r="L417" s="31"/>
      <c r="M417" s="31"/>
      <c r="N417" s="31"/>
      <c r="O417" s="31"/>
      <c r="P417" s="44"/>
      <c r="Q417" s="31"/>
      <c r="R417" s="45"/>
      <c r="S417" s="22"/>
      <c r="T417" s="22"/>
      <c r="U417" s="13"/>
      <c r="V417" s="13"/>
      <c r="W417" s="23"/>
      <c r="X417" s="13"/>
      <c r="Y417" s="13"/>
      <c r="Z417" s="13"/>
      <c r="AA417" s="13"/>
      <c r="AB417" s="13"/>
      <c r="AC417" s="13"/>
      <c r="AD417" s="13"/>
      <c r="AE417" s="13"/>
    </row>
    <row r="418" spans="1:31" ht="20.2" customHeight="1" x14ac:dyDescent="0.3">
      <c r="A418" s="14"/>
      <c r="B418" s="41"/>
      <c r="C418" s="31"/>
      <c r="D418" s="31"/>
      <c r="E418" s="31"/>
      <c r="F418" s="32"/>
      <c r="G418" s="42"/>
      <c r="H418" s="18" t="str">
        <f>IFERROR(VLOOKUP(G418,List2!$B$2:$C$100,2,FALSE), "Kerkali xodim topilmadi")</f>
        <v>Kerkali xodim topilmadi</v>
      </c>
      <c r="I418" s="7" t="str">
        <f>IFERROR(VLOOKUP(G418,List2!$B$2:$D$100,3,FALSE), "Kerkali BO'LIM topilmadi")</f>
        <v>Kerkali BO'LIM topilmadi</v>
      </c>
      <c r="J418" s="31"/>
      <c r="K418" s="43"/>
      <c r="L418" s="31"/>
      <c r="M418" s="31"/>
      <c r="N418" s="31"/>
      <c r="O418" s="31"/>
      <c r="P418" s="44"/>
      <c r="Q418" s="31"/>
      <c r="R418" s="45"/>
      <c r="S418" s="22"/>
      <c r="T418" s="22"/>
      <c r="U418" s="13"/>
      <c r="V418" s="13"/>
      <c r="W418" s="23"/>
      <c r="X418" s="13"/>
      <c r="Y418" s="13"/>
      <c r="Z418" s="13"/>
      <c r="AA418" s="13"/>
      <c r="AB418" s="13"/>
      <c r="AC418" s="13"/>
      <c r="AD418" s="13"/>
      <c r="AE418" s="13"/>
    </row>
    <row r="419" spans="1:31" ht="20.2" customHeight="1" x14ac:dyDescent="0.3">
      <c r="A419" s="14"/>
      <c r="B419" s="41"/>
      <c r="C419" s="31"/>
      <c r="D419" s="31"/>
      <c r="E419" s="31"/>
      <c r="F419" s="32"/>
      <c r="G419" s="42"/>
      <c r="H419" s="18" t="str">
        <f>IFERROR(VLOOKUP(G419,List2!$B$2:$C$100,2,FALSE), "Kerkali xodim topilmadi")</f>
        <v>Kerkali xodim topilmadi</v>
      </c>
      <c r="I419" s="7" t="str">
        <f>IFERROR(VLOOKUP(G419,List2!$B$2:$D$100,3,FALSE), "Kerkali BO'LIM topilmadi")</f>
        <v>Kerkali BO'LIM topilmadi</v>
      </c>
      <c r="J419" s="31"/>
      <c r="K419" s="43"/>
      <c r="L419" s="31"/>
      <c r="M419" s="31"/>
      <c r="N419" s="31"/>
      <c r="O419" s="31"/>
      <c r="P419" s="44"/>
      <c r="Q419" s="31"/>
      <c r="R419" s="45"/>
      <c r="S419" s="22"/>
      <c r="T419" s="22"/>
      <c r="U419" s="13"/>
      <c r="V419" s="13"/>
      <c r="W419" s="23"/>
      <c r="X419" s="13"/>
      <c r="Y419" s="13"/>
      <c r="Z419" s="13"/>
      <c r="AA419" s="13"/>
      <c r="AB419" s="13"/>
      <c r="AC419" s="13"/>
      <c r="AD419" s="13"/>
      <c r="AE419" s="13"/>
    </row>
    <row r="420" spans="1:31" ht="20.2" customHeight="1" x14ac:dyDescent="0.3">
      <c r="A420" s="14"/>
      <c r="B420" s="41"/>
      <c r="C420" s="31"/>
      <c r="D420" s="31"/>
      <c r="E420" s="31"/>
      <c r="F420" s="32"/>
      <c r="G420" s="42"/>
      <c r="H420" s="18" t="str">
        <f>IFERROR(VLOOKUP(G420,List2!$B$2:$C$100,2,FALSE), "Kerkali xodim topilmadi")</f>
        <v>Kerkali xodim topilmadi</v>
      </c>
      <c r="I420" s="7" t="str">
        <f>IFERROR(VLOOKUP(G420,List2!$B$2:$D$100,3,FALSE), "Kerkali BO'LIM topilmadi")</f>
        <v>Kerkali BO'LIM topilmadi</v>
      </c>
      <c r="J420" s="31"/>
      <c r="K420" s="43"/>
      <c r="L420" s="31"/>
      <c r="M420" s="31"/>
      <c r="N420" s="31"/>
      <c r="O420" s="31"/>
      <c r="P420" s="44"/>
      <c r="Q420" s="31"/>
      <c r="R420" s="45"/>
      <c r="S420" s="22"/>
      <c r="T420" s="22"/>
      <c r="U420" s="13"/>
      <c r="V420" s="13"/>
      <c r="W420" s="23"/>
      <c r="X420" s="13"/>
      <c r="Y420" s="13"/>
      <c r="Z420" s="13"/>
      <c r="AA420" s="13"/>
      <c r="AB420" s="13"/>
      <c r="AC420" s="13"/>
      <c r="AD420" s="13"/>
      <c r="AE420" s="13"/>
    </row>
    <row r="421" spans="1:31" ht="20.2" customHeight="1" x14ac:dyDescent="0.3">
      <c r="A421" s="14"/>
      <c r="B421" s="41"/>
      <c r="C421" s="31"/>
      <c r="D421" s="31"/>
      <c r="E421" s="31"/>
      <c r="F421" s="32"/>
      <c r="G421" s="42"/>
      <c r="H421" s="18" t="str">
        <f>IFERROR(VLOOKUP(G421,List2!$B$2:$C$100,2,FALSE), "Kerkali xodim topilmadi")</f>
        <v>Kerkali xodim topilmadi</v>
      </c>
      <c r="I421" s="7" t="str">
        <f>IFERROR(VLOOKUP(G421,List2!$B$2:$D$100,3,FALSE), "Kerkali BO'LIM topilmadi")</f>
        <v>Kerkali BO'LIM topilmadi</v>
      </c>
      <c r="J421" s="31"/>
      <c r="K421" s="43"/>
      <c r="L421" s="31"/>
      <c r="M421" s="31"/>
      <c r="N421" s="31"/>
      <c r="O421" s="31"/>
      <c r="P421" s="44"/>
      <c r="Q421" s="31"/>
      <c r="R421" s="45"/>
      <c r="S421" s="22"/>
      <c r="T421" s="22"/>
      <c r="U421" s="13"/>
      <c r="V421" s="13"/>
      <c r="W421" s="23"/>
      <c r="X421" s="13"/>
      <c r="Y421" s="13"/>
      <c r="Z421" s="13"/>
      <c r="AA421" s="13"/>
      <c r="AB421" s="13"/>
      <c r="AC421" s="13"/>
      <c r="AD421" s="13"/>
      <c r="AE421" s="13"/>
    </row>
    <row r="422" spans="1:31" ht="20.2" customHeight="1" x14ac:dyDescent="0.3">
      <c r="A422" s="14"/>
      <c r="B422" s="41"/>
      <c r="C422" s="31"/>
      <c r="D422" s="31"/>
      <c r="E422" s="31"/>
      <c r="F422" s="32"/>
      <c r="G422" s="42"/>
      <c r="H422" s="18" t="str">
        <f>IFERROR(VLOOKUP(G422,List2!$B$2:$C$100,2,FALSE), "Kerkali xodim topilmadi")</f>
        <v>Kerkali xodim topilmadi</v>
      </c>
      <c r="I422" s="7" t="str">
        <f>IFERROR(VLOOKUP(G422,List2!$B$2:$D$100,3,FALSE), "Kerkali BO'LIM topilmadi")</f>
        <v>Kerkali BO'LIM topilmadi</v>
      </c>
      <c r="J422" s="31"/>
      <c r="K422" s="43"/>
      <c r="L422" s="31"/>
      <c r="M422" s="31"/>
      <c r="N422" s="31"/>
      <c r="O422" s="31"/>
      <c r="P422" s="44"/>
      <c r="Q422" s="31"/>
      <c r="R422" s="45"/>
      <c r="S422" s="22"/>
      <c r="T422" s="22"/>
      <c r="U422" s="13"/>
      <c r="V422" s="13"/>
      <c r="W422" s="23"/>
      <c r="X422" s="13"/>
      <c r="Y422" s="13"/>
      <c r="Z422" s="13"/>
      <c r="AA422" s="13"/>
      <c r="AB422" s="13"/>
      <c r="AC422" s="13"/>
      <c r="AD422" s="13"/>
      <c r="AE422" s="13"/>
    </row>
    <row r="423" spans="1:31" ht="20.2" customHeight="1" x14ac:dyDescent="0.3">
      <c r="A423" s="14"/>
      <c r="B423" s="41"/>
      <c r="C423" s="31"/>
      <c r="D423" s="31"/>
      <c r="E423" s="31"/>
      <c r="F423" s="32"/>
      <c r="G423" s="42"/>
      <c r="H423" s="18" t="str">
        <f>IFERROR(VLOOKUP(G423,List2!$B$2:$C$100,2,FALSE), "Kerkali xodim topilmadi")</f>
        <v>Kerkali xodim topilmadi</v>
      </c>
      <c r="I423" s="7" t="str">
        <f>IFERROR(VLOOKUP(G423,List2!$B$2:$D$100,3,FALSE), "Kerkali BO'LIM topilmadi")</f>
        <v>Kerkali BO'LIM topilmadi</v>
      </c>
      <c r="J423" s="31"/>
      <c r="K423" s="43"/>
      <c r="L423" s="31"/>
      <c r="M423" s="31"/>
      <c r="N423" s="31"/>
      <c r="O423" s="31"/>
      <c r="P423" s="44"/>
      <c r="Q423" s="31"/>
      <c r="R423" s="45"/>
      <c r="S423" s="22"/>
      <c r="T423" s="22"/>
      <c r="U423" s="13"/>
      <c r="V423" s="13"/>
      <c r="W423" s="23"/>
      <c r="X423" s="13"/>
      <c r="Y423" s="13"/>
      <c r="Z423" s="13"/>
      <c r="AA423" s="13"/>
      <c r="AB423" s="13"/>
      <c r="AC423" s="13"/>
      <c r="AD423" s="13"/>
      <c r="AE423" s="13"/>
    </row>
    <row r="424" spans="1:31" ht="20.2" customHeight="1" x14ac:dyDescent="0.3">
      <c r="A424" s="14"/>
      <c r="B424" s="41"/>
      <c r="C424" s="31"/>
      <c r="D424" s="31"/>
      <c r="E424" s="31"/>
      <c r="F424" s="32"/>
      <c r="G424" s="42"/>
      <c r="H424" s="18" t="str">
        <f>IFERROR(VLOOKUP(G424,List2!$B$2:$C$100,2,FALSE), "Kerkali xodim topilmadi")</f>
        <v>Kerkali xodim topilmadi</v>
      </c>
      <c r="I424" s="7" t="str">
        <f>IFERROR(VLOOKUP(G424,List2!$B$2:$D$100,3,FALSE), "Kerkali BO'LIM topilmadi")</f>
        <v>Kerkali BO'LIM topilmadi</v>
      </c>
      <c r="J424" s="31"/>
      <c r="K424" s="43"/>
      <c r="L424" s="31"/>
      <c r="M424" s="31"/>
      <c r="N424" s="31"/>
      <c r="O424" s="31"/>
      <c r="P424" s="44"/>
      <c r="Q424" s="31"/>
      <c r="R424" s="45"/>
      <c r="S424" s="22"/>
      <c r="T424" s="22"/>
      <c r="U424" s="13"/>
      <c r="V424" s="13"/>
      <c r="W424" s="23"/>
      <c r="X424" s="13"/>
      <c r="Y424" s="13"/>
      <c r="Z424" s="13"/>
      <c r="AA424" s="13"/>
      <c r="AB424" s="13"/>
      <c r="AC424" s="13"/>
      <c r="AD424" s="13"/>
      <c r="AE424" s="13"/>
    </row>
    <row r="425" spans="1:31" ht="20.2" customHeight="1" x14ac:dyDescent="0.3">
      <c r="A425" s="14"/>
      <c r="B425" s="41"/>
      <c r="C425" s="31"/>
      <c r="D425" s="31"/>
      <c r="E425" s="31"/>
      <c r="F425" s="32"/>
      <c r="G425" s="42"/>
      <c r="H425" s="18" t="str">
        <f>IFERROR(VLOOKUP(G425,List2!$B$2:$C$100,2,FALSE), "Kerkali xodim topilmadi")</f>
        <v>Kerkali xodim topilmadi</v>
      </c>
      <c r="I425" s="7" t="str">
        <f>IFERROR(VLOOKUP(G425,List2!$B$2:$D$100,3,FALSE), "Kerkali BO'LIM topilmadi")</f>
        <v>Kerkali BO'LIM topilmadi</v>
      </c>
      <c r="J425" s="31"/>
      <c r="K425" s="43"/>
      <c r="L425" s="31"/>
      <c r="M425" s="31"/>
      <c r="N425" s="31"/>
      <c r="O425" s="31"/>
      <c r="P425" s="44"/>
      <c r="Q425" s="31"/>
      <c r="R425" s="45"/>
      <c r="S425" s="22"/>
      <c r="T425" s="22"/>
      <c r="U425" s="13"/>
      <c r="V425" s="13"/>
      <c r="W425" s="23"/>
      <c r="X425" s="13"/>
      <c r="Y425" s="13"/>
      <c r="Z425" s="13"/>
      <c r="AA425" s="13"/>
      <c r="AB425" s="13"/>
      <c r="AC425" s="13"/>
      <c r="AD425" s="13"/>
      <c r="AE425" s="13"/>
    </row>
    <row r="426" spans="1:31" ht="20.2" customHeight="1" x14ac:dyDescent="0.3">
      <c r="A426" s="14"/>
      <c r="B426" s="41"/>
      <c r="C426" s="31"/>
      <c r="D426" s="31"/>
      <c r="E426" s="31"/>
      <c r="F426" s="32"/>
      <c r="G426" s="42"/>
      <c r="H426" s="18"/>
      <c r="I426" s="7"/>
      <c r="J426" s="31"/>
      <c r="K426" s="43"/>
      <c r="L426" s="31"/>
      <c r="M426" s="31"/>
      <c r="N426" s="31"/>
      <c r="O426" s="31"/>
      <c r="P426" s="44"/>
      <c r="Q426" s="31"/>
      <c r="R426" s="45"/>
      <c r="S426" s="22"/>
      <c r="T426" s="22"/>
      <c r="U426" s="13"/>
      <c r="V426" s="13"/>
      <c r="W426" s="23"/>
      <c r="X426" s="46">
        <v>23427</v>
      </c>
      <c r="Y426" s="13"/>
      <c r="Z426" s="13"/>
      <c r="AA426" s="13"/>
      <c r="AB426" s="13"/>
      <c r="AC426" s="13"/>
      <c r="AD426" s="13"/>
      <c r="AE426" s="13"/>
    </row>
  </sheetData>
  <autoFilter ref="A1:AE426" xr:uid="{00000000-0009-0000-0000-000000000000}"/>
  <conditionalFormatting sqref="S2:S426">
    <cfRule type="cellIs" dxfId="17" priority="1" operator="equal">
      <formula>"Отказ"</formula>
    </cfRule>
  </conditionalFormatting>
  <conditionalFormatting sqref="S2:S426">
    <cfRule type="cellIs" dxfId="16" priority="2" operator="equal">
      <formula>"В процесс"</formula>
    </cfRule>
  </conditionalFormatting>
  <conditionalFormatting sqref="S2:S426">
    <cfRule type="cellIs" dxfId="15" priority="3" operator="equal">
      <formula>"У курьера"</formula>
    </cfRule>
  </conditionalFormatting>
  <conditionalFormatting sqref="S2:S426">
    <cfRule type="cellIs" dxfId="14" priority="4" operator="equal">
      <formula>"Успешно"</formula>
    </cfRule>
  </conditionalFormatting>
  <conditionalFormatting sqref="U1:U426">
    <cfRule type="notContainsBlanks" dxfId="13" priority="5">
      <formula>LEN(TRIM(U1))&gt;0</formula>
    </cfRule>
  </conditionalFormatting>
  <conditionalFormatting sqref="U1:U426">
    <cfRule type="cellIs" dxfId="12" priority="6" operator="equal">
      <formula>"Первичный"</formula>
    </cfRule>
  </conditionalFormatting>
  <conditionalFormatting sqref="U2:U20 V1:V426">
    <cfRule type="cellIs" dxfId="11" priority="7" operator="equal">
      <formula>"Arvex_media"</formula>
    </cfRule>
  </conditionalFormatting>
  <conditionalFormatting sqref="U2:U20 V1:V426">
    <cfRule type="cellIs" dxfId="10" priority="8" operator="equal">
      <formula>"Limped_media"</formula>
    </cfRule>
  </conditionalFormatting>
  <conditionalFormatting sqref="U2:U20 V1:V426">
    <cfRule type="cellIs" dxfId="9" priority="9" operator="equal">
      <formula>"AD_box"</formula>
    </cfRule>
  </conditionalFormatting>
  <conditionalFormatting sqref="U2:U20 V1:V426">
    <cfRule type="cellIs" dxfId="8" priority="10" operator="equal">
      <formula>"Timur_target"</formula>
    </cfRule>
  </conditionalFormatting>
  <conditionalFormatting sqref="U2:U20 V1:V426">
    <cfRule type="cellIs" dxfId="7" priority="11" operator="equal">
      <formula>"Akobir_target"</formula>
    </cfRule>
  </conditionalFormatting>
  <dataValidations count="4">
    <dataValidation type="list" allowBlank="1" showErrorMessage="1" sqref="T2:T426" xr:uid="{00000000-0002-0000-0000-000000000000}">
      <formula1>"Караван ,Офисс,Шокир тога"</formula1>
    </dataValidation>
    <dataValidation type="list" allowBlank="1" showErrorMessage="1" sqref="U2:U426" xr:uid="{00000000-0002-0000-0000-000001000000}">
      <formula1>"первичный,база"</formula1>
    </dataValidation>
    <dataValidation type="list" allowBlank="1" showErrorMessage="1" sqref="S1:S426" xr:uid="{00000000-0002-0000-0000-000002000000}">
      <formula1>"В процесс,Отказ,У курьера,Успешно,статус,Узум насия "</formula1>
    </dataValidation>
    <dataValidation type="list" allowBlank="1" showErrorMessage="1" sqref="V2:V426" xr:uid="{00000000-0002-0000-0000-000003000000}">
      <formula1>"Arvex_media,Limped_media ,Timur_target,AD_box,Akobir_target,Baza,Instagram,Ayubxon,Telegram"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85" customHeight="1" x14ac:dyDescent="0.2"/>
  <cols>
    <col min="1" max="1" width="6.88671875" customWidth="1"/>
    <col min="2" max="2" width="8.6640625" customWidth="1"/>
    <col min="3" max="3" width="40.6640625" customWidth="1"/>
    <col min="4" max="4" width="20.21875" customWidth="1"/>
    <col min="5" max="5" width="18.109375" customWidth="1"/>
    <col min="6" max="6" width="19.77734375" customWidth="1"/>
    <col min="7" max="7" width="10.77734375" customWidth="1"/>
    <col min="8" max="8" width="11.88671875" customWidth="1"/>
    <col min="9" max="9" width="12.6640625" customWidth="1"/>
    <col min="10" max="10" width="16.44140625" customWidth="1"/>
    <col min="11" max="11" width="19.33203125" customWidth="1"/>
  </cols>
  <sheetData>
    <row r="1" spans="1:27" ht="15.85" customHeight="1" x14ac:dyDescent="0.2">
      <c r="A1" s="47" t="s">
        <v>1</v>
      </c>
      <c r="B1" s="48" t="s">
        <v>6</v>
      </c>
      <c r="C1" s="47" t="s">
        <v>145</v>
      </c>
      <c r="D1" s="49" t="s">
        <v>146</v>
      </c>
      <c r="E1" s="49" t="s">
        <v>147</v>
      </c>
      <c r="F1" s="50" t="s">
        <v>148</v>
      </c>
      <c r="G1" s="51" t="s">
        <v>149</v>
      </c>
      <c r="H1" s="52" t="s">
        <v>150</v>
      </c>
      <c r="I1" s="53" t="s">
        <v>151</v>
      </c>
      <c r="J1" s="54" t="s">
        <v>152</v>
      </c>
      <c r="K1" s="55" t="s">
        <v>153</v>
      </c>
      <c r="L1" s="56" t="s">
        <v>154</v>
      </c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 spans="1:27" ht="15.85" customHeight="1" x14ac:dyDescent="0.3">
      <c r="A2" s="33">
        <v>1</v>
      </c>
      <c r="B2" s="58" t="s">
        <v>101</v>
      </c>
      <c r="C2" s="59" t="s">
        <v>155</v>
      </c>
      <c r="D2" s="60" t="s">
        <v>156</v>
      </c>
      <c r="E2" s="60">
        <v>190455000</v>
      </c>
      <c r="F2" s="60">
        <v>87175000</v>
      </c>
      <c r="G2" s="60">
        <v>0</v>
      </c>
      <c r="H2" s="60">
        <v>103280000</v>
      </c>
      <c r="I2" s="61">
        <v>0</v>
      </c>
      <c r="J2" s="62">
        <v>116</v>
      </c>
      <c r="K2" s="63">
        <f t="shared" ref="K2:K83" si="0">F2*12%+G2*16%</f>
        <v>10461000</v>
      </c>
      <c r="L2" s="64">
        <f t="shared" ref="L2:L84" si="1">(F2+G2)/E2</f>
        <v>0.45771967131343361</v>
      </c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5.85" customHeight="1" x14ac:dyDescent="0.3">
      <c r="A3" s="33">
        <v>2</v>
      </c>
      <c r="B3" s="58" t="s">
        <v>157</v>
      </c>
      <c r="C3" s="36" t="s">
        <v>158</v>
      </c>
      <c r="D3" s="60" t="s">
        <v>156</v>
      </c>
      <c r="E3" s="60">
        <v>0</v>
      </c>
      <c r="F3" s="60">
        <v>0</v>
      </c>
      <c r="G3" s="60">
        <v>0</v>
      </c>
      <c r="H3" s="60">
        <v>0</v>
      </c>
      <c r="I3" s="61">
        <v>0</v>
      </c>
      <c r="J3" s="62">
        <v>0</v>
      </c>
      <c r="K3" s="63">
        <f t="shared" si="0"/>
        <v>0</v>
      </c>
      <c r="L3" s="64" t="e">
        <f t="shared" si="1"/>
        <v>#DIV/0!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5.85" customHeight="1" x14ac:dyDescent="0.3">
      <c r="A4" s="33">
        <v>3</v>
      </c>
      <c r="B4" s="58" t="s">
        <v>108</v>
      </c>
      <c r="C4" s="59" t="s">
        <v>159</v>
      </c>
      <c r="D4" s="60" t="s">
        <v>156</v>
      </c>
      <c r="E4" s="60">
        <v>42185000</v>
      </c>
      <c r="F4" s="60">
        <v>32035000</v>
      </c>
      <c r="G4" s="60">
        <v>0</v>
      </c>
      <c r="H4" s="60">
        <v>10150000</v>
      </c>
      <c r="I4" s="61">
        <v>0</v>
      </c>
      <c r="J4" s="62">
        <v>46</v>
      </c>
      <c r="K4" s="63">
        <f t="shared" si="0"/>
        <v>3844200</v>
      </c>
      <c r="L4" s="64">
        <f t="shared" si="1"/>
        <v>0.75939314922365775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15.85" customHeight="1" x14ac:dyDescent="0.3">
      <c r="A5" s="33">
        <v>4</v>
      </c>
      <c r="B5" s="58" t="s">
        <v>105</v>
      </c>
      <c r="C5" s="59" t="s">
        <v>160</v>
      </c>
      <c r="D5" s="60" t="s">
        <v>156</v>
      </c>
      <c r="E5" s="60">
        <v>62470000</v>
      </c>
      <c r="F5" s="60">
        <v>39090000</v>
      </c>
      <c r="G5" s="60">
        <v>0</v>
      </c>
      <c r="H5" s="60">
        <v>23380000</v>
      </c>
      <c r="I5" s="61">
        <v>0</v>
      </c>
      <c r="J5" s="62">
        <v>55</v>
      </c>
      <c r="K5" s="63">
        <f t="shared" si="0"/>
        <v>4690800</v>
      </c>
      <c r="L5" s="64">
        <f t="shared" si="1"/>
        <v>0.62574035537057793</v>
      </c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5.85" customHeight="1" x14ac:dyDescent="0.3">
      <c r="A6" s="33">
        <v>5</v>
      </c>
      <c r="B6" s="58" t="s">
        <v>102</v>
      </c>
      <c r="C6" s="59" t="s">
        <v>161</v>
      </c>
      <c r="D6" s="60" t="s">
        <v>156</v>
      </c>
      <c r="E6" s="60">
        <v>49745000</v>
      </c>
      <c r="F6" s="60">
        <v>38770000</v>
      </c>
      <c r="G6" s="60">
        <v>0</v>
      </c>
      <c r="H6" s="60">
        <v>10975000</v>
      </c>
      <c r="I6" s="61">
        <v>0</v>
      </c>
      <c r="J6" s="62">
        <v>55</v>
      </c>
      <c r="K6" s="63">
        <f t="shared" si="0"/>
        <v>4652400</v>
      </c>
      <c r="L6" s="64">
        <f t="shared" si="1"/>
        <v>0.77937481153884813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5.85" customHeight="1" x14ac:dyDescent="0.3">
      <c r="A7" s="33">
        <v>6</v>
      </c>
      <c r="B7" s="58" t="s">
        <v>104</v>
      </c>
      <c r="C7" s="59" t="s">
        <v>162</v>
      </c>
      <c r="D7" s="60" t="s">
        <v>156</v>
      </c>
      <c r="E7" s="60">
        <v>141570000</v>
      </c>
      <c r="F7" s="60">
        <v>100990000</v>
      </c>
      <c r="G7" s="60">
        <v>0</v>
      </c>
      <c r="H7" s="60">
        <v>40580000</v>
      </c>
      <c r="I7" s="61">
        <v>0</v>
      </c>
      <c r="J7" s="62">
        <v>140</v>
      </c>
      <c r="K7" s="63">
        <f t="shared" si="0"/>
        <v>12118800</v>
      </c>
      <c r="L7" s="64">
        <f t="shared" si="1"/>
        <v>0.71335734972098608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5.85" customHeight="1" x14ac:dyDescent="0.3">
      <c r="A8" s="33">
        <v>7</v>
      </c>
      <c r="B8" s="58" t="s">
        <v>97</v>
      </c>
      <c r="C8" s="59" t="s">
        <v>163</v>
      </c>
      <c r="D8" s="60" t="s">
        <v>164</v>
      </c>
      <c r="E8" s="60">
        <v>102755000</v>
      </c>
      <c r="F8" s="60">
        <v>34365000</v>
      </c>
      <c r="G8" s="60">
        <v>0</v>
      </c>
      <c r="H8" s="60">
        <v>68390000</v>
      </c>
      <c r="I8" s="61">
        <v>0</v>
      </c>
      <c r="J8" s="62">
        <v>52</v>
      </c>
      <c r="K8" s="63">
        <f t="shared" si="0"/>
        <v>4123800</v>
      </c>
      <c r="L8" s="64">
        <f t="shared" si="1"/>
        <v>0.33443628047296969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5.85" customHeight="1" x14ac:dyDescent="0.3">
      <c r="A9" s="33">
        <v>8</v>
      </c>
      <c r="B9" s="58" t="s">
        <v>114</v>
      </c>
      <c r="C9" s="29" t="s">
        <v>165</v>
      </c>
      <c r="D9" s="60" t="s">
        <v>166</v>
      </c>
      <c r="E9" s="60">
        <v>4450000</v>
      </c>
      <c r="F9" s="60">
        <v>1450000</v>
      </c>
      <c r="G9" s="60">
        <v>1150000</v>
      </c>
      <c r="H9" s="60">
        <v>1850000</v>
      </c>
      <c r="I9" s="61">
        <v>0</v>
      </c>
      <c r="J9" s="62">
        <v>5</v>
      </c>
      <c r="K9" s="63">
        <f t="shared" si="0"/>
        <v>358000</v>
      </c>
      <c r="L9" s="64">
        <f t="shared" si="1"/>
        <v>0.5842696629213483</v>
      </c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ht="15.85" customHeight="1" x14ac:dyDescent="0.3">
      <c r="A10" s="33">
        <v>9</v>
      </c>
      <c r="B10" s="58" t="s">
        <v>167</v>
      </c>
      <c r="C10" s="29" t="s">
        <v>168</v>
      </c>
      <c r="D10" s="60" t="s">
        <v>156</v>
      </c>
      <c r="E10" s="60">
        <v>0</v>
      </c>
      <c r="F10" s="60">
        <v>0</v>
      </c>
      <c r="G10" s="60">
        <v>0</v>
      </c>
      <c r="H10" s="60">
        <v>0</v>
      </c>
      <c r="I10" s="61">
        <v>0</v>
      </c>
      <c r="J10" s="62">
        <v>0</v>
      </c>
      <c r="K10" s="63">
        <f t="shared" si="0"/>
        <v>0</v>
      </c>
      <c r="L10" s="64" t="e">
        <f t="shared" si="1"/>
        <v>#DIV/0!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ht="15.85" customHeight="1" x14ac:dyDescent="0.3">
      <c r="A11" s="33">
        <v>10</v>
      </c>
      <c r="B11" s="58" t="s">
        <v>98</v>
      </c>
      <c r="C11" s="29" t="s">
        <v>169</v>
      </c>
      <c r="D11" s="60" t="s">
        <v>156</v>
      </c>
      <c r="E11" s="60">
        <v>37830000</v>
      </c>
      <c r="F11" s="60">
        <v>25510000</v>
      </c>
      <c r="G11" s="60">
        <v>0</v>
      </c>
      <c r="H11" s="60">
        <v>12320000</v>
      </c>
      <c r="I11" s="61">
        <v>0</v>
      </c>
      <c r="J11" s="62">
        <v>37</v>
      </c>
      <c r="K11" s="63">
        <f t="shared" si="0"/>
        <v>3061200</v>
      </c>
      <c r="L11" s="64">
        <f t="shared" si="1"/>
        <v>0.6743325403119218</v>
      </c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5.85" customHeight="1" x14ac:dyDescent="0.3">
      <c r="A12" s="33">
        <v>11</v>
      </c>
      <c r="B12" s="58" t="s">
        <v>99</v>
      </c>
      <c r="C12" s="29" t="s">
        <v>170</v>
      </c>
      <c r="D12" s="60" t="s">
        <v>156</v>
      </c>
      <c r="E12" s="60">
        <v>47110000</v>
      </c>
      <c r="F12" s="60">
        <v>26255000</v>
      </c>
      <c r="G12" s="60">
        <v>0</v>
      </c>
      <c r="H12" s="60">
        <v>20855000</v>
      </c>
      <c r="I12" s="61">
        <v>0</v>
      </c>
      <c r="J12" s="62">
        <v>36</v>
      </c>
      <c r="K12" s="63">
        <f t="shared" si="0"/>
        <v>3150600</v>
      </c>
      <c r="L12" s="64">
        <f t="shared" si="1"/>
        <v>0.55731267246869032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5.85" customHeight="1" x14ac:dyDescent="0.3">
      <c r="A13" s="33">
        <v>12</v>
      </c>
      <c r="B13" s="58" t="s">
        <v>94</v>
      </c>
      <c r="C13" s="29" t="s">
        <v>171</v>
      </c>
      <c r="D13" s="60" t="s">
        <v>156</v>
      </c>
      <c r="E13" s="60">
        <v>10560000</v>
      </c>
      <c r="F13" s="60">
        <v>7540000</v>
      </c>
      <c r="G13" s="60">
        <v>0</v>
      </c>
      <c r="H13" s="60">
        <v>3020000</v>
      </c>
      <c r="I13" s="61">
        <v>0</v>
      </c>
      <c r="J13" s="62">
        <v>10</v>
      </c>
      <c r="K13" s="63">
        <f t="shared" si="0"/>
        <v>904800</v>
      </c>
      <c r="L13" s="64">
        <f t="shared" si="1"/>
        <v>0.71401515151515149</v>
      </c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5.85" customHeight="1" x14ac:dyDescent="0.3">
      <c r="A14" s="33">
        <v>13</v>
      </c>
      <c r="B14" s="58" t="s">
        <v>116</v>
      </c>
      <c r="C14" s="29" t="s">
        <v>172</v>
      </c>
      <c r="D14" s="60" t="s">
        <v>156</v>
      </c>
      <c r="E14" s="60">
        <v>19105000</v>
      </c>
      <c r="F14" s="60">
        <v>11080000</v>
      </c>
      <c r="G14" s="60">
        <v>0</v>
      </c>
      <c r="H14" s="60">
        <v>8025000</v>
      </c>
      <c r="I14" s="61">
        <v>0</v>
      </c>
      <c r="J14" s="62">
        <v>16</v>
      </c>
      <c r="K14" s="63">
        <f t="shared" si="0"/>
        <v>1329600</v>
      </c>
      <c r="L14" s="64">
        <f t="shared" si="1"/>
        <v>0.57995289191311172</v>
      </c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5.85" customHeight="1" x14ac:dyDescent="0.3">
      <c r="A15" s="33">
        <v>14</v>
      </c>
      <c r="B15" s="58" t="s">
        <v>103</v>
      </c>
      <c r="C15" s="29" t="s">
        <v>173</v>
      </c>
      <c r="D15" s="60" t="s">
        <v>156</v>
      </c>
      <c r="E15" s="60">
        <v>21675000</v>
      </c>
      <c r="F15" s="60">
        <v>17495000</v>
      </c>
      <c r="G15" s="60">
        <v>0</v>
      </c>
      <c r="H15" s="60">
        <v>4180000</v>
      </c>
      <c r="I15" s="61">
        <v>0</v>
      </c>
      <c r="J15" s="62">
        <v>27</v>
      </c>
      <c r="K15" s="63">
        <f t="shared" si="0"/>
        <v>2099400</v>
      </c>
      <c r="L15" s="64">
        <f t="shared" si="1"/>
        <v>0.80715109573241062</v>
      </c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5.85" customHeight="1" x14ac:dyDescent="0.3">
      <c r="A16" s="33">
        <v>15</v>
      </c>
      <c r="B16" s="58" t="s">
        <v>96</v>
      </c>
      <c r="C16" s="29" t="s">
        <v>174</v>
      </c>
      <c r="D16" s="60" t="s">
        <v>156</v>
      </c>
      <c r="E16" s="60">
        <v>71230000</v>
      </c>
      <c r="F16" s="60">
        <v>42420000</v>
      </c>
      <c r="G16" s="60">
        <v>0</v>
      </c>
      <c r="H16" s="60">
        <v>28810000</v>
      </c>
      <c r="I16" s="61">
        <v>0</v>
      </c>
      <c r="J16" s="62">
        <v>58</v>
      </c>
      <c r="K16" s="63">
        <f t="shared" si="0"/>
        <v>5090400</v>
      </c>
      <c r="L16" s="64">
        <f t="shared" si="1"/>
        <v>0.59553558893724556</v>
      </c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5.85" customHeight="1" x14ac:dyDescent="0.3">
      <c r="A17" s="33">
        <v>16</v>
      </c>
      <c r="B17" s="58" t="s">
        <v>175</v>
      </c>
      <c r="C17" s="59" t="s">
        <v>176</v>
      </c>
      <c r="D17" s="60" t="s">
        <v>156</v>
      </c>
      <c r="E17" s="60">
        <v>0</v>
      </c>
      <c r="F17" s="60">
        <v>0</v>
      </c>
      <c r="G17" s="60">
        <v>0</v>
      </c>
      <c r="H17" s="60">
        <v>0</v>
      </c>
      <c r="I17" s="61">
        <v>0</v>
      </c>
      <c r="J17" s="62">
        <v>0</v>
      </c>
      <c r="K17" s="63">
        <f t="shared" si="0"/>
        <v>0</v>
      </c>
      <c r="L17" s="64" t="e">
        <f t="shared" si="1"/>
        <v>#DIV/0!</v>
      </c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5.85" customHeight="1" x14ac:dyDescent="0.3">
      <c r="A18" s="33">
        <v>17</v>
      </c>
      <c r="B18" s="58" t="s">
        <v>58</v>
      </c>
      <c r="C18" s="59" t="s">
        <v>177</v>
      </c>
      <c r="D18" s="60" t="s">
        <v>166</v>
      </c>
      <c r="E18" s="60">
        <v>71395000</v>
      </c>
      <c r="F18" s="60">
        <v>32340000</v>
      </c>
      <c r="G18" s="60">
        <v>700000</v>
      </c>
      <c r="H18" s="60">
        <v>38355000</v>
      </c>
      <c r="I18" s="61">
        <v>0</v>
      </c>
      <c r="J18" s="62">
        <v>102</v>
      </c>
      <c r="K18" s="63">
        <f t="shared" si="0"/>
        <v>3992800</v>
      </c>
      <c r="L18" s="64">
        <f t="shared" si="1"/>
        <v>0.46277750542755097</v>
      </c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5.85" customHeight="1" x14ac:dyDescent="0.3">
      <c r="A19" s="33">
        <v>18</v>
      </c>
      <c r="B19" s="58" t="s">
        <v>46</v>
      </c>
      <c r="C19" s="59" t="s">
        <v>178</v>
      </c>
      <c r="D19" s="60" t="s">
        <v>179</v>
      </c>
      <c r="E19" s="60">
        <v>27650000</v>
      </c>
      <c r="F19" s="60">
        <v>6900000</v>
      </c>
      <c r="G19" s="60">
        <v>0</v>
      </c>
      <c r="H19" s="60">
        <v>20750000</v>
      </c>
      <c r="I19" s="61">
        <v>0</v>
      </c>
      <c r="J19" s="62">
        <v>28</v>
      </c>
      <c r="K19" s="63">
        <f t="shared" si="0"/>
        <v>828000</v>
      </c>
      <c r="L19" s="64">
        <f t="shared" si="1"/>
        <v>0.24954792043399637</v>
      </c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5.85" customHeight="1" x14ac:dyDescent="0.3">
      <c r="A20" s="33">
        <v>19</v>
      </c>
      <c r="B20" s="58" t="s">
        <v>68</v>
      </c>
      <c r="C20" s="16" t="s">
        <v>180</v>
      </c>
      <c r="D20" s="60" t="s">
        <v>179</v>
      </c>
      <c r="E20" s="60">
        <v>13540000</v>
      </c>
      <c r="F20" s="60">
        <v>6540000</v>
      </c>
      <c r="G20" s="60">
        <v>0</v>
      </c>
      <c r="H20" s="60">
        <v>7000000</v>
      </c>
      <c r="I20" s="61">
        <v>0</v>
      </c>
      <c r="J20" s="62">
        <v>25</v>
      </c>
      <c r="K20" s="63">
        <f t="shared" si="0"/>
        <v>784800</v>
      </c>
      <c r="L20" s="64">
        <f t="shared" si="1"/>
        <v>0.48301329394386999</v>
      </c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5.85" customHeight="1" x14ac:dyDescent="0.3">
      <c r="A21" s="33">
        <v>20</v>
      </c>
      <c r="B21" s="58" t="s">
        <v>61</v>
      </c>
      <c r="C21" s="59" t="s">
        <v>181</v>
      </c>
      <c r="D21" s="60" t="s">
        <v>179</v>
      </c>
      <c r="E21" s="60">
        <v>11050000</v>
      </c>
      <c r="F21" s="60">
        <v>4950000</v>
      </c>
      <c r="G21" s="60">
        <v>0</v>
      </c>
      <c r="H21" s="60">
        <v>6100000</v>
      </c>
      <c r="I21" s="61">
        <v>0</v>
      </c>
      <c r="J21" s="62">
        <v>16</v>
      </c>
      <c r="K21" s="63">
        <f t="shared" si="0"/>
        <v>594000</v>
      </c>
      <c r="L21" s="64">
        <f t="shared" si="1"/>
        <v>0.44796380090497739</v>
      </c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5.85" customHeight="1" x14ac:dyDescent="0.3">
      <c r="A22" s="33">
        <v>21</v>
      </c>
      <c r="B22" s="58" t="s">
        <v>34</v>
      </c>
      <c r="C22" s="59" t="s">
        <v>182</v>
      </c>
      <c r="D22" s="60" t="s">
        <v>179</v>
      </c>
      <c r="E22" s="60">
        <v>14700000</v>
      </c>
      <c r="F22" s="60">
        <v>6300000</v>
      </c>
      <c r="G22" s="60">
        <v>0</v>
      </c>
      <c r="H22" s="60">
        <v>8400000</v>
      </c>
      <c r="I22" s="61">
        <v>0</v>
      </c>
      <c r="J22" s="62">
        <v>22</v>
      </c>
      <c r="K22" s="63">
        <f t="shared" si="0"/>
        <v>756000</v>
      </c>
      <c r="L22" s="64">
        <f t="shared" si="1"/>
        <v>0.42857142857142855</v>
      </c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5.85" customHeight="1" x14ac:dyDescent="0.3">
      <c r="A23" s="33">
        <v>22</v>
      </c>
      <c r="B23" s="58" t="s">
        <v>183</v>
      </c>
      <c r="C23" s="40" t="s">
        <v>184</v>
      </c>
      <c r="D23" s="60" t="s">
        <v>179</v>
      </c>
      <c r="E23" s="60">
        <v>0</v>
      </c>
      <c r="F23" s="60">
        <v>0</v>
      </c>
      <c r="G23" s="60">
        <v>0</v>
      </c>
      <c r="H23" s="60">
        <v>0</v>
      </c>
      <c r="I23" s="61">
        <v>0</v>
      </c>
      <c r="J23" s="62">
        <v>0</v>
      </c>
      <c r="K23" s="63">
        <f t="shared" si="0"/>
        <v>0</v>
      </c>
      <c r="L23" s="64" t="e">
        <f t="shared" si="1"/>
        <v>#DIV/0!</v>
      </c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5.85" customHeight="1" x14ac:dyDescent="0.3">
      <c r="A24" s="33">
        <v>23</v>
      </c>
      <c r="B24" s="58" t="s">
        <v>25</v>
      </c>
      <c r="C24" s="1" t="s">
        <v>185</v>
      </c>
      <c r="D24" s="60" t="s">
        <v>166</v>
      </c>
      <c r="E24" s="60">
        <v>45360000</v>
      </c>
      <c r="F24" s="60">
        <v>20820000</v>
      </c>
      <c r="G24" s="60">
        <v>11500000</v>
      </c>
      <c r="H24" s="60">
        <v>13040000</v>
      </c>
      <c r="I24" s="61">
        <v>0</v>
      </c>
      <c r="J24" s="62">
        <v>78</v>
      </c>
      <c r="K24" s="63">
        <f t="shared" si="0"/>
        <v>4338400</v>
      </c>
      <c r="L24" s="64">
        <f t="shared" si="1"/>
        <v>0.71252204585537915</v>
      </c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5.85" customHeight="1" x14ac:dyDescent="0.3">
      <c r="A25" s="33">
        <v>24</v>
      </c>
      <c r="B25" s="58" t="s">
        <v>107</v>
      </c>
      <c r="C25" s="29" t="s">
        <v>186</v>
      </c>
      <c r="D25" s="60" t="s">
        <v>166</v>
      </c>
      <c r="E25" s="60">
        <v>77335000</v>
      </c>
      <c r="F25" s="60">
        <v>17595000</v>
      </c>
      <c r="G25" s="60">
        <v>52870000</v>
      </c>
      <c r="H25" s="60">
        <v>6870000</v>
      </c>
      <c r="I25" s="61">
        <v>0</v>
      </c>
      <c r="J25" s="62">
        <v>125</v>
      </c>
      <c r="K25" s="63">
        <f t="shared" si="0"/>
        <v>10570600</v>
      </c>
      <c r="L25" s="64">
        <f t="shared" si="1"/>
        <v>0.91116570763561133</v>
      </c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5.85" customHeight="1" x14ac:dyDescent="0.3">
      <c r="A26" s="33">
        <v>25</v>
      </c>
      <c r="B26" s="58" t="s">
        <v>144</v>
      </c>
      <c r="C26" s="40" t="s">
        <v>187</v>
      </c>
      <c r="D26" s="60" t="s">
        <v>156</v>
      </c>
      <c r="E26" s="60">
        <v>850000</v>
      </c>
      <c r="F26" s="60">
        <v>0</v>
      </c>
      <c r="G26" s="60">
        <v>0</v>
      </c>
      <c r="H26" s="60">
        <v>850000</v>
      </c>
      <c r="I26" s="61">
        <v>0</v>
      </c>
      <c r="J26" s="62">
        <v>0</v>
      </c>
      <c r="K26" s="63">
        <f t="shared" si="0"/>
        <v>0</v>
      </c>
      <c r="L26" s="64">
        <f t="shared" si="1"/>
        <v>0</v>
      </c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5.85" customHeight="1" x14ac:dyDescent="0.3">
      <c r="A27" s="33">
        <v>26</v>
      </c>
      <c r="B27" s="58" t="s">
        <v>120</v>
      </c>
      <c r="C27" s="29" t="s">
        <v>188</v>
      </c>
      <c r="D27" s="60" t="s">
        <v>164</v>
      </c>
      <c r="E27" s="60">
        <v>44865000</v>
      </c>
      <c r="F27" s="60">
        <v>29690000</v>
      </c>
      <c r="G27" s="60">
        <v>0</v>
      </c>
      <c r="H27" s="60">
        <v>15175000</v>
      </c>
      <c r="I27" s="61">
        <v>0</v>
      </c>
      <c r="J27" s="62">
        <v>41</v>
      </c>
      <c r="K27" s="63">
        <f t="shared" si="0"/>
        <v>3562800</v>
      </c>
      <c r="L27" s="64">
        <f t="shared" si="1"/>
        <v>0.6617630669787139</v>
      </c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15.85" customHeight="1" x14ac:dyDescent="0.3">
      <c r="A28" s="33">
        <v>27</v>
      </c>
      <c r="B28" s="58" t="s">
        <v>112</v>
      </c>
      <c r="C28" s="29" t="s">
        <v>189</v>
      </c>
      <c r="D28" s="60" t="s">
        <v>164</v>
      </c>
      <c r="E28" s="60">
        <v>1000000</v>
      </c>
      <c r="F28" s="60">
        <v>0</v>
      </c>
      <c r="G28" s="60">
        <v>0</v>
      </c>
      <c r="H28" s="60">
        <v>1000000</v>
      </c>
      <c r="I28" s="61">
        <v>0</v>
      </c>
      <c r="J28" s="62">
        <v>0</v>
      </c>
      <c r="K28" s="63">
        <f t="shared" si="0"/>
        <v>0</v>
      </c>
      <c r="L28" s="64">
        <f t="shared" si="1"/>
        <v>0</v>
      </c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15.85" customHeight="1" x14ac:dyDescent="0.3">
      <c r="A29" s="33">
        <v>28</v>
      </c>
      <c r="B29" s="58" t="s">
        <v>113</v>
      </c>
      <c r="C29" s="29" t="s">
        <v>190</v>
      </c>
      <c r="D29" s="60" t="s">
        <v>164</v>
      </c>
      <c r="E29" s="60">
        <v>44305000</v>
      </c>
      <c r="F29" s="60">
        <v>31440000</v>
      </c>
      <c r="G29" s="60">
        <v>0</v>
      </c>
      <c r="H29" s="60">
        <v>12865000</v>
      </c>
      <c r="I29" s="61">
        <v>0</v>
      </c>
      <c r="J29" s="62">
        <v>44</v>
      </c>
      <c r="K29" s="63">
        <f t="shared" si="0"/>
        <v>3772800</v>
      </c>
      <c r="L29" s="64">
        <f t="shared" si="1"/>
        <v>0.7096264529962758</v>
      </c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5.85" customHeight="1" x14ac:dyDescent="0.3">
      <c r="A30" s="33">
        <v>29</v>
      </c>
      <c r="B30" s="58" t="s">
        <v>191</v>
      </c>
      <c r="C30" s="29" t="s">
        <v>192</v>
      </c>
      <c r="D30" s="60" t="s">
        <v>164</v>
      </c>
      <c r="E30" s="60">
        <v>0</v>
      </c>
      <c r="F30" s="60">
        <v>0</v>
      </c>
      <c r="G30" s="60">
        <v>0</v>
      </c>
      <c r="H30" s="60">
        <v>0</v>
      </c>
      <c r="I30" s="61">
        <v>0</v>
      </c>
      <c r="J30" s="62">
        <v>0</v>
      </c>
      <c r="K30" s="63">
        <f t="shared" si="0"/>
        <v>0</v>
      </c>
      <c r="L30" s="64" t="e">
        <f t="shared" si="1"/>
        <v>#DIV/0!</v>
      </c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15.65" x14ac:dyDescent="0.3">
      <c r="A31" s="33">
        <v>30</v>
      </c>
      <c r="B31" s="58" t="s">
        <v>118</v>
      </c>
      <c r="C31" s="29" t="s">
        <v>193</v>
      </c>
      <c r="D31" s="60" t="s">
        <v>156</v>
      </c>
      <c r="E31" s="60">
        <v>1990000</v>
      </c>
      <c r="F31" s="60">
        <v>1990000</v>
      </c>
      <c r="G31" s="60">
        <v>0</v>
      </c>
      <c r="H31" s="60">
        <v>0</v>
      </c>
      <c r="I31" s="61">
        <v>0</v>
      </c>
      <c r="J31" s="62">
        <v>3</v>
      </c>
      <c r="K31" s="63">
        <f t="shared" si="0"/>
        <v>238800</v>
      </c>
      <c r="L31" s="64">
        <f t="shared" si="1"/>
        <v>1</v>
      </c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 spans="1:27" ht="15.65" x14ac:dyDescent="0.3">
      <c r="A32" s="33">
        <v>31</v>
      </c>
      <c r="B32" s="58" t="s">
        <v>100</v>
      </c>
      <c r="C32" s="29" t="s">
        <v>194</v>
      </c>
      <c r="D32" s="60" t="s">
        <v>164</v>
      </c>
      <c r="E32" s="60">
        <v>46600000</v>
      </c>
      <c r="F32" s="60">
        <v>25270000</v>
      </c>
      <c r="G32" s="60">
        <v>500000</v>
      </c>
      <c r="H32" s="60">
        <v>20830000</v>
      </c>
      <c r="I32" s="61">
        <v>0</v>
      </c>
      <c r="J32" s="62">
        <v>37</v>
      </c>
      <c r="K32" s="63">
        <f t="shared" si="0"/>
        <v>3112400</v>
      </c>
      <c r="L32" s="64">
        <f t="shared" si="1"/>
        <v>0.5530042918454936</v>
      </c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 spans="1:27" ht="15.65" x14ac:dyDescent="0.3">
      <c r="A33" s="33">
        <v>32</v>
      </c>
      <c r="B33" s="58" t="s">
        <v>195</v>
      </c>
      <c r="C33" s="59" t="s">
        <v>196</v>
      </c>
      <c r="D33" s="60" t="s">
        <v>166</v>
      </c>
      <c r="E33" s="60">
        <v>0</v>
      </c>
      <c r="F33" s="60">
        <v>0</v>
      </c>
      <c r="G33" s="60">
        <v>0</v>
      </c>
      <c r="H33" s="60">
        <v>0</v>
      </c>
      <c r="I33" s="61">
        <v>0</v>
      </c>
      <c r="J33" s="62">
        <v>0</v>
      </c>
      <c r="K33" s="63">
        <f t="shared" si="0"/>
        <v>0</v>
      </c>
      <c r="L33" s="64" t="e">
        <f t="shared" si="1"/>
        <v>#DIV/0!</v>
      </c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 spans="1:27" ht="15.65" x14ac:dyDescent="0.3">
      <c r="A34" s="33">
        <v>33</v>
      </c>
      <c r="B34" s="58" t="s">
        <v>197</v>
      </c>
      <c r="C34" s="29" t="s">
        <v>198</v>
      </c>
      <c r="D34" s="60" t="s">
        <v>166</v>
      </c>
      <c r="E34" s="60">
        <v>0</v>
      </c>
      <c r="F34" s="60">
        <v>0</v>
      </c>
      <c r="G34" s="60">
        <v>0</v>
      </c>
      <c r="H34" s="60">
        <v>0</v>
      </c>
      <c r="I34" s="61">
        <v>0</v>
      </c>
      <c r="J34" s="62">
        <v>0</v>
      </c>
      <c r="K34" s="63">
        <f t="shared" si="0"/>
        <v>0</v>
      </c>
      <c r="L34" s="64" t="e">
        <f t="shared" si="1"/>
        <v>#DIV/0!</v>
      </c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 spans="1:27" ht="15.65" x14ac:dyDescent="0.3">
      <c r="A35" s="33">
        <v>34</v>
      </c>
      <c r="B35" s="58" t="s">
        <v>40</v>
      </c>
      <c r="C35" s="19" t="s">
        <v>199</v>
      </c>
      <c r="D35" s="60" t="s">
        <v>156</v>
      </c>
      <c r="E35" s="60">
        <v>34995000</v>
      </c>
      <c r="F35" s="60">
        <v>24025000</v>
      </c>
      <c r="G35" s="60">
        <v>0</v>
      </c>
      <c r="H35" s="60">
        <v>10970000</v>
      </c>
      <c r="I35" s="61">
        <v>0</v>
      </c>
      <c r="J35" s="62">
        <v>36</v>
      </c>
      <c r="K35" s="63">
        <f t="shared" si="0"/>
        <v>2883000</v>
      </c>
      <c r="L35" s="64">
        <f t="shared" si="1"/>
        <v>0.68652664666380914</v>
      </c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5.65" x14ac:dyDescent="0.3">
      <c r="A36" s="33">
        <v>35</v>
      </c>
      <c r="B36" s="58" t="s">
        <v>73</v>
      </c>
      <c r="C36" s="59" t="s">
        <v>200</v>
      </c>
      <c r="D36" s="60" t="s">
        <v>156</v>
      </c>
      <c r="E36" s="60">
        <v>18120000</v>
      </c>
      <c r="F36" s="60">
        <v>9770000</v>
      </c>
      <c r="G36" s="60">
        <v>0</v>
      </c>
      <c r="H36" s="60">
        <v>8350000</v>
      </c>
      <c r="I36" s="61">
        <v>0</v>
      </c>
      <c r="J36" s="62">
        <v>26</v>
      </c>
      <c r="K36" s="63">
        <f t="shared" si="0"/>
        <v>1172400</v>
      </c>
      <c r="L36" s="64">
        <f t="shared" si="1"/>
        <v>0.53918322295805743</v>
      </c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5.65" x14ac:dyDescent="0.3">
      <c r="A37" s="33">
        <v>36</v>
      </c>
      <c r="B37" s="58" t="s">
        <v>123</v>
      </c>
      <c r="C37" s="59" t="s">
        <v>201</v>
      </c>
      <c r="D37" s="60" t="s">
        <v>166</v>
      </c>
      <c r="E37" s="60">
        <v>24675000</v>
      </c>
      <c r="F37" s="60">
        <v>7365000</v>
      </c>
      <c r="G37" s="60">
        <v>15510000</v>
      </c>
      <c r="H37" s="60">
        <v>1800000</v>
      </c>
      <c r="I37" s="61">
        <v>0</v>
      </c>
      <c r="J37" s="62">
        <v>38</v>
      </c>
      <c r="K37" s="63">
        <f t="shared" si="0"/>
        <v>3365400</v>
      </c>
      <c r="L37" s="64">
        <f t="shared" si="1"/>
        <v>0.92705167173252279</v>
      </c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5.65" x14ac:dyDescent="0.3">
      <c r="A38" s="33">
        <v>37</v>
      </c>
      <c r="B38" s="58" t="s">
        <v>111</v>
      </c>
      <c r="C38" s="59" t="s">
        <v>202</v>
      </c>
      <c r="D38" s="60" t="s">
        <v>164</v>
      </c>
      <c r="E38" s="60">
        <v>49260000</v>
      </c>
      <c r="F38" s="60">
        <v>31680000</v>
      </c>
      <c r="G38" s="60">
        <v>0</v>
      </c>
      <c r="H38" s="60">
        <v>17580000</v>
      </c>
      <c r="I38" s="61">
        <v>0</v>
      </c>
      <c r="J38" s="62">
        <v>50</v>
      </c>
      <c r="K38" s="63">
        <f t="shared" si="0"/>
        <v>3801600</v>
      </c>
      <c r="L38" s="64">
        <f t="shared" si="1"/>
        <v>0.64311814859926919</v>
      </c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15.65" x14ac:dyDescent="0.3">
      <c r="A39" s="33">
        <v>38</v>
      </c>
      <c r="B39" s="58" t="s">
        <v>117</v>
      </c>
      <c r="C39" s="59" t="s">
        <v>203</v>
      </c>
      <c r="D39" s="60" t="s">
        <v>156</v>
      </c>
      <c r="E39" s="60">
        <v>53085000</v>
      </c>
      <c r="F39" s="60">
        <v>34640000</v>
      </c>
      <c r="G39" s="60">
        <v>0</v>
      </c>
      <c r="H39" s="60">
        <v>18445000</v>
      </c>
      <c r="I39" s="61">
        <v>0</v>
      </c>
      <c r="J39" s="62">
        <v>46</v>
      </c>
      <c r="K39" s="63">
        <f t="shared" si="0"/>
        <v>4156800</v>
      </c>
      <c r="L39" s="64">
        <f t="shared" si="1"/>
        <v>0.65253838184044455</v>
      </c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 spans="1:27" ht="15.65" x14ac:dyDescent="0.3">
      <c r="A40" s="33">
        <v>39</v>
      </c>
      <c r="B40" s="58" t="s">
        <v>115</v>
      </c>
      <c r="C40" s="59" t="s">
        <v>204</v>
      </c>
      <c r="D40" s="60" t="s">
        <v>156</v>
      </c>
      <c r="E40" s="60">
        <v>28410000</v>
      </c>
      <c r="F40" s="60">
        <v>26620000</v>
      </c>
      <c r="G40" s="60">
        <v>0</v>
      </c>
      <c r="H40" s="60">
        <v>1790000</v>
      </c>
      <c r="I40" s="61">
        <v>0</v>
      </c>
      <c r="J40" s="62">
        <v>36</v>
      </c>
      <c r="K40" s="63">
        <f t="shared" si="0"/>
        <v>3194400</v>
      </c>
      <c r="L40" s="64">
        <f t="shared" si="1"/>
        <v>0.93699401619148193</v>
      </c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5.65" x14ac:dyDescent="0.3">
      <c r="A41" s="33">
        <v>40</v>
      </c>
      <c r="B41" s="58" t="s">
        <v>106</v>
      </c>
      <c r="C41" s="59" t="s">
        <v>205</v>
      </c>
      <c r="D41" s="60" t="s">
        <v>156</v>
      </c>
      <c r="E41" s="60">
        <v>23520000</v>
      </c>
      <c r="F41" s="60">
        <v>21150000</v>
      </c>
      <c r="G41" s="60">
        <v>0</v>
      </c>
      <c r="H41" s="60">
        <v>2370000</v>
      </c>
      <c r="I41" s="61">
        <v>0</v>
      </c>
      <c r="J41" s="62">
        <v>30</v>
      </c>
      <c r="K41" s="63">
        <f t="shared" si="0"/>
        <v>2538000</v>
      </c>
      <c r="L41" s="64">
        <f t="shared" si="1"/>
        <v>0.89923469387755106</v>
      </c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 spans="1:27" ht="15.65" x14ac:dyDescent="0.3">
      <c r="A42" s="33">
        <v>41</v>
      </c>
      <c r="B42" s="58" t="s">
        <v>206</v>
      </c>
      <c r="C42" s="59" t="s">
        <v>207</v>
      </c>
      <c r="D42" s="60" t="s">
        <v>156</v>
      </c>
      <c r="E42" s="60">
        <v>0</v>
      </c>
      <c r="F42" s="60">
        <v>0</v>
      </c>
      <c r="G42" s="60">
        <v>0</v>
      </c>
      <c r="H42" s="60">
        <v>0</v>
      </c>
      <c r="I42" s="61">
        <v>0</v>
      </c>
      <c r="J42" s="62">
        <v>0</v>
      </c>
      <c r="K42" s="63">
        <f t="shared" si="0"/>
        <v>0</v>
      </c>
      <c r="L42" s="64" t="e">
        <f t="shared" si="1"/>
        <v>#DIV/0!</v>
      </c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5.65" x14ac:dyDescent="0.3">
      <c r="A43" s="33">
        <v>42</v>
      </c>
      <c r="B43" s="58" t="s">
        <v>95</v>
      </c>
      <c r="C43" s="59" t="s">
        <v>208</v>
      </c>
      <c r="D43" s="60" t="s">
        <v>156</v>
      </c>
      <c r="E43" s="60">
        <v>28000000</v>
      </c>
      <c r="F43" s="60">
        <v>18050000</v>
      </c>
      <c r="G43" s="60">
        <v>0</v>
      </c>
      <c r="H43" s="60">
        <v>9950000</v>
      </c>
      <c r="I43" s="61">
        <v>0</v>
      </c>
      <c r="J43" s="62">
        <v>25</v>
      </c>
      <c r="K43" s="63">
        <f t="shared" si="0"/>
        <v>2166000</v>
      </c>
      <c r="L43" s="64">
        <f t="shared" si="1"/>
        <v>0.64464285714285718</v>
      </c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15.65" x14ac:dyDescent="0.3">
      <c r="A44" s="33">
        <v>43</v>
      </c>
      <c r="B44" s="58" t="s">
        <v>119</v>
      </c>
      <c r="C44" s="59" t="s">
        <v>209</v>
      </c>
      <c r="D44" s="60" t="s">
        <v>156</v>
      </c>
      <c r="E44" s="60">
        <v>28595000</v>
      </c>
      <c r="F44" s="60">
        <v>20040000</v>
      </c>
      <c r="G44" s="60">
        <v>600000</v>
      </c>
      <c r="H44" s="60">
        <v>7955000</v>
      </c>
      <c r="I44" s="61">
        <v>0</v>
      </c>
      <c r="J44" s="62">
        <v>29</v>
      </c>
      <c r="K44" s="63">
        <f t="shared" si="0"/>
        <v>2500800</v>
      </c>
      <c r="L44" s="64">
        <f t="shared" si="1"/>
        <v>0.72180451127819545</v>
      </c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15.65" x14ac:dyDescent="0.3">
      <c r="A45" s="33">
        <v>44</v>
      </c>
      <c r="B45" s="58" t="s">
        <v>110</v>
      </c>
      <c r="C45" s="59" t="s">
        <v>210</v>
      </c>
      <c r="D45" s="60" t="s">
        <v>164</v>
      </c>
      <c r="E45" s="60">
        <v>62655000</v>
      </c>
      <c r="F45" s="60">
        <v>34490000</v>
      </c>
      <c r="G45" s="60">
        <v>0</v>
      </c>
      <c r="H45" s="60">
        <v>28165000</v>
      </c>
      <c r="I45" s="61">
        <v>0</v>
      </c>
      <c r="J45" s="62">
        <v>48</v>
      </c>
      <c r="K45" s="63">
        <f t="shared" si="0"/>
        <v>4138800</v>
      </c>
      <c r="L45" s="64">
        <f t="shared" si="1"/>
        <v>0.55047482244034796</v>
      </c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15.65" x14ac:dyDescent="0.3">
      <c r="A46" s="33">
        <v>45</v>
      </c>
      <c r="B46" s="58" t="s">
        <v>109</v>
      </c>
      <c r="C46" s="59" t="s">
        <v>211</v>
      </c>
      <c r="D46" s="60" t="s">
        <v>156</v>
      </c>
      <c r="E46" s="60">
        <v>12025000</v>
      </c>
      <c r="F46" s="60">
        <v>11235000</v>
      </c>
      <c r="G46" s="60">
        <v>0</v>
      </c>
      <c r="H46" s="60">
        <v>790000</v>
      </c>
      <c r="I46" s="61">
        <v>0</v>
      </c>
      <c r="J46" s="62">
        <v>16</v>
      </c>
      <c r="K46" s="63">
        <f t="shared" si="0"/>
        <v>1348200</v>
      </c>
      <c r="L46" s="64">
        <f t="shared" si="1"/>
        <v>0.9343035343035343</v>
      </c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15.65" x14ac:dyDescent="0.3">
      <c r="A47" s="33">
        <v>46</v>
      </c>
      <c r="B47" s="58" t="s">
        <v>124</v>
      </c>
      <c r="C47" s="59" t="s">
        <v>212</v>
      </c>
      <c r="D47" s="60" t="s">
        <v>164</v>
      </c>
      <c r="E47" s="60">
        <v>650000</v>
      </c>
      <c r="F47" s="60">
        <v>650000</v>
      </c>
      <c r="G47" s="60">
        <v>0</v>
      </c>
      <c r="H47" s="60">
        <v>0</v>
      </c>
      <c r="I47" s="61">
        <v>0</v>
      </c>
      <c r="J47" s="62">
        <v>1</v>
      </c>
      <c r="K47" s="63">
        <f t="shared" si="0"/>
        <v>78000</v>
      </c>
      <c r="L47" s="64">
        <f t="shared" si="1"/>
        <v>1</v>
      </c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5.65" x14ac:dyDescent="0.3">
      <c r="A48" s="33">
        <v>47</v>
      </c>
      <c r="B48" s="58" t="s">
        <v>82</v>
      </c>
      <c r="C48" s="59" t="s">
        <v>213</v>
      </c>
      <c r="D48" s="60" t="s">
        <v>179</v>
      </c>
      <c r="E48" s="60">
        <v>2100000</v>
      </c>
      <c r="F48" s="60">
        <v>0</v>
      </c>
      <c r="G48" s="60">
        <v>0</v>
      </c>
      <c r="H48" s="60">
        <v>2100000</v>
      </c>
      <c r="I48" s="61">
        <v>0</v>
      </c>
      <c r="J48" s="62">
        <v>0</v>
      </c>
      <c r="K48" s="63">
        <f t="shared" si="0"/>
        <v>0</v>
      </c>
      <c r="L48" s="64">
        <f t="shared" si="1"/>
        <v>0</v>
      </c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5.65" x14ac:dyDescent="0.3">
      <c r="A49" s="33">
        <v>48</v>
      </c>
      <c r="B49" s="58" t="s">
        <v>121</v>
      </c>
      <c r="C49" s="59" t="s">
        <v>214</v>
      </c>
      <c r="D49" s="60" t="s">
        <v>156</v>
      </c>
      <c r="E49" s="60">
        <v>9040000</v>
      </c>
      <c r="F49" s="60">
        <v>5950000</v>
      </c>
      <c r="G49" s="60">
        <v>0</v>
      </c>
      <c r="H49" s="60">
        <v>3090000</v>
      </c>
      <c r="I49" s="61">
        <v>0</v>
      </c>
      <c r="J49" s="66">
        <v>8</v>
      </c>
      <c r="K49" s="63">
        <f t="shared" si="0"/>
        <v>714000</v>
      </c>
      <c r="L49" s="64">
        <f t="shared" si="1"/>
        <v>0.6581858407079646</v>
      </c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5.65" x14ac:dyDescent="0.3">
      <c r="A50" s="33">
        <v>49</v>
      </c>
      <c r="B50" s="58" t="s">
        <v>125</v>
      </c>
      <c r="C50" s="59" t="s">
        <v>215</v>
      </c>
      <c r="D50" s="60" t="s">
        <v>164</v>
      </c>
      <c r="E50" s="60">
        <v>78240000</v>
      </c>
      <c r="F50" s="60">
        <v>51100000</v>
      </c>
      <c r="G50" s="60">
        <v>0</v>
      </c>
      <c r="H50" s="60">
        <v>27140000</v>
      </c>
      <c r="I50" s="61">
        <v>0</v>
      </c>
      <c r="J50" s="66">
        <v>67</v>
      </c>
      <c r="K50" s="63">
        <f t="shared" si="0"/>
        <v>6132000</v>
      </c>
      <c r="L50" s="64">
        <f t="shared" si="1"/>
        <v>0.65311860940695299</v>
      </c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5.65" x14ac:dyDescent="0.3">
      <c r="A51" s="33">
        <v>50</v>
      </c>
      <c r="B51" s="58" t="s">
        <v>122</v>
      </c>
      <c r="C51" s="59" t="s">
        <v>216</v>
      </c>
      <c r="D51" s="60" t="s">
        <v>166</v>
      </c>
      <c r="E51" s="60">
        <v>16680000</v>
      </c>
      <c r="F51" s="60">
        <v>10980000</v>
      </c>
      <c r="G51" s="60">
        <v>1200000</v>
      </c>
      <c r="H51" s="60">
        <v>4500000</v>
      </c>
      <c r="I51" s="61">
        <v>0</v>
      </c>
      <c r="J51" s="66">
        <v>23</v>
      </c>
      <c r="K51" s="63">
        <f t="shared" si="0"/>
        <v>1509600</v>
      </c>
      <c r="L51" s="64">
        <f t="shared" si="1"/>
        <v>0.73021582733812951</v>
      </c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5.65" x14ac:dyDescent="0.3">
      <c r="A52" s="33">
        <v>51</v>
      </c>
      <c r="B52" s="58" t="s">
        <v>126</v>
      </c>
      <c r="C52" s="59" t="s">
        <v>217</v>
      </c>
      <c r="D52" s="60" t="s">
        <v>156</v>
      </c>
      <c r="E52" s="60">
        <v>3530000</v>
      </c>
      <c r="F52" s="60">
        <v>1950000</v>
      </c>
      <c r="G52" s="60">
        <v>0</v>
      </c>
      <c r="H52" s="60">
        <v>1580000</v>
      </c>
      <c r="I52" s="61">
        <v>0</v>
      </c>
      <c r="J52" s="66">
        <v>3</v>
      </c>
      <c r="K52" s="63">
        <f t="shared" si="0"/>
        <v>234000</v>
      </c>
      <c r="L52" s="64">
        <f t="shared" si="1"/>
        <v>0.55240793201133143</v>
      </c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5.65" x14ac:dyDescent="0.3">
      <c r="A53" s="33">
        <v>52</v>
      </c>
      <c r="B53" s="58" t="s">
        <v>127</v>
      </c>
      <c r="C53" s="59" t="s">
        <v>218</v>
      </c>
      <c r="D53" s="60" t="s">
        <v>156</v>
      </c>
      <c r="E53" s="60">
        <v>15690000</v>
      </c>
      <c r="F53" s="60">
        <v>6280000</v>
      </c>
      <c r="G53" s="60">
        <v>0</v>
      </c>
      <c r="H53" s="60">
        <v>9410000</v>
      </c>
      <c r="I53" s="61">
        <v>0</v>
      </c>
      <c r="J53" s="66">
        <v>8</v>
      </c>
      <c r="K53" s="63">
        <f t="shared" si="0"/>
        <v>753600</v>
      </c>
      <c r="L53" s="64">
        <f t="shared" si="1"/>
        <v>0.40025493945188018</v>
      </c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5.65" x14ac:dyDescent="0.3">
      <c r="A54" s="33">
        <v>53</v>
      </c>
      <c r="B54" s="58" t="s">
        <v>129</v>
      </c>
      <c r="C54" s="59" t="s">
        <v>219</v>
      </c>
      <c r="D54" s="60" t="s">
        <v>164</v>
      </c>
      <c r="E54" s="60">
        <v>7180000</v>
      </c>
      <c r="F54" s="60">
        <v>5600000</v>
      </c>
      <c r="G54" s="60">
        <v>0</v>
      </c>
      <c r="H54" s="60">
        <v>1580000</v>
      </c>
      <c r="I54" s="61">
        <v>0</v>
      </c>
      <c r="J54" s="66">
        <v>8</v>
      </c>
      <c r="K54" s="63">
        <f t="shared" si="0"/>
        <v>672000</v>
      </c>
      <c r="L54" s="64">
        <f t="shared" si="1"/>
        <v>0.77994428969359331</v>
      </c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5.65" x14ac:dyDescent="0.3">
      <c r="A55" s="33">
        <v>54</v>
      </c>
      <c r="B55" s="58" t="s">
        <v>130</v>
      </c>
      <c r="C55" s="59" t="s">
        <v>220</v>
      </c>
      <c r="D55" s="60" t="s">
        <v>156</v>
      </c>
      <c r="E55" s="60">
        <v>18185000</v>
      </c>
      <c r="F55" s="60">
        <v>11585000</v>
      </c>
      <c r="G55" s="60">
        <v>0</v>
      </c>
      <c r="H55" s="60">
        <v>6600000</v>
      </c>
      <c r="I55" s="61">
        <v>0</v>
      </c>
      <c r="J55" s="66">
        <v>15</v>
      </c>
      <c r="K55" s="63">
        <f t="shared" si="0"/>
        <v>1390200</v>
      </c>
      <c r="L55" s="64">
        <f t="shared" si="1"/>
        <v>0.6370635138850701</v>
      </c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5.65" x14ac:dyDescent="0.3">
      <c r="A56" s="33">
        <v>55</v>
      </c>
      <c r="B56" s="58" t="s">
        <v>221</v>
      </c>
      <c r="C56" s="59" t="s">
        <v>222</v>
      </c>
      <c r="D56" s="60" t="s">
        <v>223</v>
      </c>
      <c r="E56" s="60">
        <v>0</v>
      </c>
      <c r="F56" s="60">
        <v>0</v>
      </c>
      <c r="G56" s="60">
        <v>0</v>
      </c>
      <c r="H56" s="60">
        <v>0</v>
      </c>
      <c r="I56" s="61">
        <v>0</v>
      </c>
      <c r="J56" s="66">
        <v>0</v>
      </c>
      <c r="K56" s="63">
        <f t="shared" si="0"/>
        <v>0</v>
      </c>
      <c r="L56" s="64" t="e">
        <f t="shared" si="1"/>
        <v>#DIV/0!</v>
      </c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5.65" x14ac:dyDescent="0.3">
      <c r="A57" s="33">
        <v>56</v>
      </c>
      <c r="B57" s="58" t="s">
        <v>135</v>
      </c>
      <c r="C57" s="59" t="s">
        <v>224</v>
      </c>
      <c r="D57" s="60" t="s">
        <v>223</v>
      </c>
      <c r="E57" s="60">
        <v>2255000</v>
      </c>
      <c r="F57" s="60">
        <v>825000</v>
      </c>
      <c r="G57" s="60">
        <v>0</v>
      </c>
      <c r="H57" s="60">
        <v>1430000</v>
      </c>
      <c r="I57" s="61">
        <v>0</v>
      </c>
      <c r="J57" s="66">
        <v>1</v>
      </c>
      <c r="K57" s="63">
        <f t="shared" si="0"/>
        <v>99000</v>
      </c>
      <c r="L57" s="64">
        <f t="shared" si="1"/>
        <v>0.36585365853658536</v>
      </c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5.65" x14ac:dyDescent="0.3">
      <c r="A58" s="33">
        <v>57</v>
      </c>
      <c r="B58" s="58" t="s">
        <v>132</v>
      </c>
      <c r="C58" s="59" t="s">
        <v>225</v>
      </c>
      <c r="D58" s="60" t="s">
        <v>223</v>
      </c>
      <c r="E58" s="60">
        <v>2440000</v>
      </c>
      <c r="F58" s="60">
        <v>825000</v>
      </c>
      <c r="G58" s="60">
        <v>0</v>
      </c>
      <c r="H58" s="60">
        <v>1615000</v>
      </c>
      <c r="I58" s="61">
        <v>0</v>
      </c>
      <c r="J58" s="66">
        <v>1</v>
      </c>
      <c r="K58" s="63">
        <f t="shared" si="0"/>
        <v>99000</v>
      </c>
      <c r="L58" s="64">
        <f t="shared" si="1"/>
        <v>0.33811475409836067</v>
      </c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5.65" x14ac:dyDescent="0.3">
      <c r="A59" s="33">
        <v>58</v>
      </c>
      <c r="B59" s="58" t="s">
        <v>133</v>
      </c>
      <c r="C59" s="59" t="s">
        <v>226</v>
      </c>
      <c r="D59" s="60" t="s">
        <v>223</v>
      </c>
      <c r="E59" s="60">
        <v>7860000</v>
      </c>
      <c r="F59" s="60">
        <v>3940000</v>
      </c>
      <c r="G59" s="60">
        <v>0</v>
      </c>
      <c r="H59" s="60">
        <v>3920000</v>
      </c>
      <c r="I59" s="61">
        <v>0</v>
      </c>
      <c r="J59" s="66">
        <v>5</v>
      </c>
      <c r="K59" s="63">
        <f t="shared" si="0"/>
        <v>472800</v>
      </c>
      <c r="L59" s="64">
        <f t="shared" si="1"/>
        <v>0.50127226463104324</v>
      </c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5.65" x14ac:dyDescent="0.3">
      <c r="A60" s="33">
        <v>59</v>
      </c>
      <c r="B60" s="58" t="s">
        <v>134</v>
      </c>
      <c r="C60" s="59" t="s">
        <v>227</v>
      </c>
      <c r="D60" s="60" t="s">
        <v>223</v>
      </c>
      <c r="E60" s="60">
        <v>17710000</v>
      </c>
      <c r="F60" s="60">
        <v>7100000</v>
      </c>
      <c r="G60" s="60">
        <v>0</v>
      </c>
      <c r="H60" s="60">
        <v>10610000</v>
      </c>
      <c r="I60" s="61">
        <v>0</v>
      </c>
      <c r="J60" s="66">
        <v>9</v>
      </c>
      <c r="K60" s="63">
        <f t="shared" si="0"/>
        <v>852000</v>
      </c>
      <c r="L60" s="64">
        <f t="shared" si="1"/>
        <v>0.40090344438170528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15.65" x14ac:dyDescent="0.3">
      <c r="A61" s="33">
        <v>60</v>
      </c>
      <c r="B61" s="58" t="s">
        <v>131</v>
      </c>
      <c r="C61" s="39" t="s">
        <v>228</v>
      </c>
      <c r="D61" s="60" t="s">
        <v>156</v>
      </c>
      <c r="E61" s="60">
        <v>5240000</v>
      </c>
      <c r="F61" s="60">
        <v>3625000</v>
      </c>
      <c r="G61" s="60">
        <v>0</v>
      </c>
      <c r="H61" s="60">
        <v>1615000</v>
      </c>
      <c r="I61" s="61">
        <v>0</v>
      </c>
      <c r="J61" s="66">
        <v>5</v>
      </c>
      <c r="K61" s="63">
        <f t="shared" si="0"/>
        <v>435000</v>
      </c>
      <c r="L61" s="64">
        <f t="shared" si="1"/>
        <v>0.69179389312977102</v>
      </c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15.65" x14ac:dyDescent="0.3">
      <c r="A62" s="33">
        <v>61</v>
      </c>
      <c r="B62" s="58" t="s">
        <v>138</v>
      </c>
      <c r="C62" s="39" t="s">
        <v>229</v>
      </c>
      <c r="D62" s="60" t="s">
        <v>156</v>
      </c>
      <c r="E62" s="60">
        <v>600000</v>
      </c>
      <c r="F62" s="60">
        <v>600000</v>
      </c>
      <c r="G62" s="60">
        <v>0</v>
      </c>
      <c r="H62" s="60">
        <v>0</v>
      </c>
      <c r="I62" s="61">
        <v>0</v>
      </c>
      <c r="J62" s="66">
        <v>1</v>
      </c>
      <c r="K62" s="63">
        <f t="shared" si="0"/>
        <v>72000</v>
      </c>
      <c r="L62" s="64">
        <f t="shared" si="1"/>
        <v>1</v>
      </c>
      <c r="M62" s="67">
        <v>27</v>
      </c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15.65" x14ac:dyDescent="0.3">
      <c r="A63" s="33">
        <v>62</v>
      </c>
      <c r="B63" s="58" t="s">
        <v>137</v>
      </c>
      <c r="C63" s="39" t="s">
        <v>230</v>
      </c>
      <c r="D63" s="60" t="s">
        <v>223</v>
      </c>
      <c r="E63" s="60">
        <v>10285000</v>
      </c>
      <c r="F63" s="60">
        <v>2390000</v>
      </c>
      <c r="G63" s="60">
        <v>0</v>
      </c>
      <c r="H63" s="60">
        <v>7895000</v>
      </c>
      <c r="I63" s="61">
        <v>0</v>
      </c>
      <c r="J63" s="66">
        <v>3</v>
      </c>
      <c r="K63" s="63">
        <f t="shared" si="0"/>
        <v>286800</v>
      </c>
      <c r="L63" s="64">
        <f t="shared" si="1"/>
        <v>0.23237724842002916</v>
      </c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15.65" x14ac:dyDescent="0.3">
      <c r="A64" s="33">
        <v>63</v>
      </c>
      <c r="B64" s="58" t="s">
        <v>136</v>
      </c>
      <c r="C64" s="39" t="s">
        <v>231</v>
      </c>
      <c r="D64" s="60" t="s">
        <v>223</v>
      </c>
      <c r="E64" s="60">
        <v>3025000</v>
      </c>
      <c r="F64" s="60">
        <v>2200000</v>
      </c>
      <c r="G64" s="60">
        <v>0</v>
      </c>
      <c r="H64" s="60">
        <v>825000</v>
      </c>
      <c r="I64" s="61">
        <v>0</v>
      </c>
      <c r="J64" s="66">
        <v>3</v>
      </c>
      <c r="K64" s="63">
        <f t="shared" si="0"/>
        <v>264000</v>
      </c>
      <c r="L64" s="64">
        <f t="shared" si="1"/>
        <v>0.72727272727272729</v>
      </c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15.65" x14ac:dyDescent="0.3">
      <c r="A65" s="33">
        <v>64</v>
      </c>
      <c r="B65" s="58" t="s">
        <v>140</v>
      </c>
      <c r="C65" s="39" t="s">
        <v>232</v>
      </c>
      <c r="D65" s="60" t="s">
        <v>223</v>
      </c>
      <c r="E65" s="60">
        <v>780000</v>
      </c>
      <c r="F65" s="60">
        <v>780000</v>
      </c>
      <c r="G65" s="60">
        <v>0</v>
      </c>
      <c r="H65" s="60">
        <v>0</v>
      </c>
      <c r="I65" s="61">
        <v>0</v>
      </c>
      <c r="J65" s="66">
        <v>1</v>
      </c>
      <c r="K65" s="63">
        <f t="shared" si="0"/>
        <v>93600</v>
      </c>
      <c r="L65" s="64">
        <f t="shared" si="1"/>
        <v>1</v>
      </c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5.65" x14ac:dyDescent="0.3">
      <c r="A66" s="33">
        <v>65</v>
      </c>
      <c r="B66" s="58" t="s">
        <v>141</v>
      </c>
      <c r="C66" s="29" t="s">
        <v>233</v>
      </c>
      <c r="D66" s="60" t="s">
        <v>156</v>
      </c>
      <c r="E66" s="60">
        <v>600000</v>
      </c>
      <c r="F66" s="60">
        <v>600000</v>
      </c>
      <c r="G66" s="60">
        <v>0</v>
      </c>
      <c r="H66" s="60">
        <v>0</v>
      </c>
      <c r="I66" s="61">
        <v>0</v>
      </c>
      <c r="J66" s="66">
        <v>1</v>
      </c>
      <c r="K66" s="63">
        <f t="shared" si="0"/>
        <v>72000</v>
      </c>
      <c r="L66" s="64">
        <f t="shared" si="1"/>
        <v>1</v>
      </c>
      <c r="M66" s="68">
        <f>L66+L62+L61+L55+L53+L52+L49+L46+L44+L43+L41+L40+L39+L36+L35+L26+L16+L15+L14+L13+L12+L11+L7+L6+L5+L4+L2</f>
        <v>18.218819261487983</v>
      </c>
      <c r="N66" s="65">
        <f>M66/M62</f>
        <v>0.67477108375881423</v>
      </c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5.65" x14ac:dyDescent="0.3">
      <c r="A67" s="33">
        <v>66</v>
      </c>
      <c r="B67" s="58" t="s">
        <v>139</v>
      </c>
      <c r="C67" s="29" t="s">
        <v>234</v>
      </c>
      <c r="D67" s="60" t="s">
        <v>223</v>
      </c>
      <c r="E67" s="60">
        <v>825000</v>
      </c>
      <c r="F67" s="60">
        <v>825000</v>
      </c>
      <c r="G67" s="60">
        <v>0</v>
      </c>
      <c r="H67" s="60">
        <v>0</v>
      </c>
      <c r="I67" s="61">
        <v>0</v>
      </c>
      <c r="J67" s="66">
        <v>1</v>
      </c>
      <c r="K67" s="63">
        <f t="shared" si="0"/>
        <v>99000</v>
      </c>
      <c r="L67" s="64">
        <f t="shared" si="1"/>
        <v>1</v>
      </c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5.65" x14ac:dyDescent="0.3">
      <c r="A68" s="33">
        <v>67</v>
      </c>
      <c r="B68" s="58" t="s">
        <v>142</v>
      </c>
      <c r="C68" s="29" t="s">
        <v>235</v>
      </c>
      <c r="D68" s="60" t="s">
        <v>223</v>
      </c>
      <c r="E68" s="60">
        <v>9635000</v>
      </c>
      <c r="F68" s="60">
        <v>6335000</v>
      </c>
      <c r="G68" s="60">
        <v>0</v>
      </c>
      <c r="H68" s="60">
        <v>3300000</v>
      </c>
      <c r="I68" s="61">
        <v>0</v>
      </c>
      <c r="J68" s="66">
        <v>8</v>
      </c>
      <c r="K68" s="63">
        <f t="shared" si="0"/>
        <v>760200</v>
      </c>
      <c r="L68" s="64">
        <f t="shared" si="1"/>
        <v>0.65749870264660093</v>
      </c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5.65" x14ac:dyDescent="0.3">
      <c r="A69" s="33">
        <v>68</v>
      </c>
      <c r="B69" s="58" t="s">
        <v>143</v>
      </c>
      <c r="C69" s="29" t="s">
        <v>236</v>
      </c>
      <c r="D69" s="60" t="s">
        <v>223</v>
      </c>
      <c r="E69" s="60">
        <v>3725000</v>
      </c>
      <c r="F69" s="60">
        <v>1525000</v>
      </c>
      <c r="G69" s="60">
        <v>0</v>
      </c>
      <c r="H69" s="60">
        <v>2200000</v>
      </c>
      <c r="I69" s="61">
        <v>0</v>
      </c>
      <c r="J69" s="66">
        <v>2</v>
      </c>
      <c r="K69" s="63">
        <f t="shared" si="0"/>
        <v>183000</v>
      </c>
      <c r="L69" s="64">
        <f t="shared" si="1"/>
        <v>0.40939597315436244</v>
      </c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5.65" x14ac:dyDescent="0.3">
      <c r="A70" s="33">
        <v>69</v>
      </c>
      <c r="B70" s="58" t="s">
        <v>237</v>
      </c>
      <c r="C70" s="29" t="s">
        <v>238</v>
      </c>
      <c r="D70" s="60" t="s">
        <v>239</v>
      </c>
      <c r="E70" s="60">
        <v>0</v>
      </c>
      <c r="F70" s="60">
        <v>0</v>
      </c>
      <c r="G70" s="60">
        <v>0</v>
      </c>
      <c r="H70" s="60">
        <v>0</v>
      </c>
      <c r="I70" s="61">
        <v>0</v>
      </c>
      <c r="J70" s="66">
        <v>0</v>
      </c>
      <c r="K70" s="63">
        <f t="shared" si="0"/>
        <v>0</v>
      </c>
      <c r="L70" s="64" t="e">
        <f t="shared" si="1"/>
        <v>#DIV/0!</v>
      </c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5.65" x14ac:dyDescent="0.3">
      <c r="A71" s="33">
        <v>70</v>
      </c>
      <c r="B71" s="58" t="s">
        <v>240</v>
      </c>
      <c r="C71" s="29"/>
      <c r="D71" s="60"/>
      <c r="E71" s="60">
        <v>0</v>
      </c>
      <c r="F71" s="60">
        <v>0</v>
      </c>
      <c r="G71" s="60">
        <v>0</v>
      </c>
      <c r="H71" s="60">
        <v>0</v>
      </c>
      <c r="I71" s="61">
        <v>0</v>
      </c>
      <c r="J71" s="66">
        <v>0</v>
      </c>
      <c r="K71" s="63">
        <f t="shared" si="0"/>
        <v>0</v>
      </c>
      <c r="L71" s="64" t="e">
        <f t="shared" si="1"/>
        <v>#DIV/0!</v>
      </c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5.65" x14ac:dyDescent="0.3">
      <c r="A72" s="33">
        <v>71</v>
      </c>
      <c r="B72" s="58" t="s">
        <v>241</v>
      </c>
      <c r="C72" s="69"/>
      <c r="D72" s="60"/>
      <c r="E72" s="60">
        <v>0</v>
      </c>
      <c r="F72" s="60">
        <v>0</v>
      </c>
      <c r="G72" s="60">
        <v>0</v>
      </c>
      <c r="H72" s="60">
        <v>0</v>
      </c>
      <c r="I72" s="61">
        <v>0</v>
      </c>
      <c r="J72" s="66">
        <v>0</v>
      </c>
      <c r="K72" s="63">
        <f t="shared" si="0"/>
        <v>0</v>
      </c>
      <c r="L72" s="64" t="e">
        <f t="shared" si="1"/>
        <v>#DIV/0!</v>
      </c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5.65" x14ac:dyDescent="0.3">
      <c r="A73" s="33">
        <v>72</v>
      </c>
      <c r="B73" s="58" t="s">
        <v>242</v>
      </c>
      <c r="C73" s="69"/>
      <c r="D73" s="60"/>
      <c r="E73" s="60">
        <v>0</v>
      </c>
      <c r="F73" s="60">
        <v>0</v>
      </c>
      <c r="G73" s="60">
        <v>0</v>
      </c>
      <c r="H73" s="60">
        <v>0</v>
      </c>
      <c r="I73" s="61">
        <v>0</v>
      </c>
      <c r="J73" s="66">
        <v>0</v>
      </c>
      <c r="K73" s="63">
        <f t="shared" si="0"/>
        <v>0</v>
      </c>
      <c r="L73" s="64" t="e">
        <f t="shared" si="1"/>
        <v>#DIV/0!</v>
      </c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5.65" x14ac:dyDescent="0.3">
      <c r="A74" s="33">
        <v>73</v>
      </c>
      <c r="B74" s="58" t="s">
        <v>243</v>
      </c>
      <c r="C74" s="69"/>
      <c r="D74" s="60"/>
      <c r="E74" s="60">
        <v>0</v>
      </c>
      <c r="F74" s="60">
        <v>0</v>
      </c>
      <c r="G74" s="60">
        <v>0</v>
      </c>
      <c r="H74" s="60">
        <v>0</v>
      </c>
      <c r="I74" s="61">
        <v>0</v>
      </c>
      <c r="J74" s="66">
        <v>0</v>
      </c>
      <c r="K74" s="63">
        <f t="shared" si="0"/>
        <v>0</v>
      </c>
      <c r="L74" s="64" t="e">
        <f t="shared" si="1"/>
        <v>#DIV/0!</v>
      </c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5.65" x14ac:dyDescent="0.3">
      <c r="A75" s="33">
        <v>74</v>
      </c>
      <c r="B75" s="58" t="s">
        <v>244</v>
      </c>
      <c r="C75" s="69"/>
      <c r="D75" s="60"/>
      <c r="E75" s="60">
        <v>0</v>
      </c>
      <c r="F75" s="60">
        <v>0</v>
      </c>
      <c r="G75" s="60">
        <v>0</v>
      </c>
      <c r="H75" s="60">
        <v>0</v>
      </c>
      <c r="I75" s="61">
        <v>0</v>
      </c>
      <c r="J75" s="66">
        <v>0</v>
      </c>
      <c r="K75" s="63">
        <f t="shared" si="0"/>
        <v>0</v>
      </c>
      <c r="L75" s="64" t="e">
        <f t="shared" si="1"/>
        <v>#DIV/0!</v>
      </c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5.65" x14ac:dyDescent="0.3">
      <c r="A76" s="33">
        <v>75</v>
      </c>
      <c r="B76" s="58" t="s">
        <v>245</v>
      </c>
      <c r="C76" s="69"/>
      <c r="D76" s="60"/>
      <c r="E76" s="60">
        <v>0</v>
      </c>
      <c r="F76" s="60">
        <v>0</v>
      </c>
      <c r="G76" s="60">
        <v>0</v>
      </c>
      <c r="H76" s="60">
        <v>0</v>
      </c>
      <c r="I76" s="61">
        <v>0</v>
      </c>
      <c r="J76" s="66">
        <v>0</v>
      </c>
      <c r="K76" s="63">
        <f t="shared" si="0"/>
        <v>0</v>
      </c>
      <c r="L76" s="64" t="e">
        <f t="shared" si="1"/>
        <v>#DIV/0!</v>
      </c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5.65" x14ac:dyDescent="0.3">
      <c r="A77" s="33">
        <v>76</v>
      </c>
      <c r="B77" s="58" t="s">
        <v>246</v>
      </c>
      <c r="C77" s="69"/>
      <c r="D77" s="60"/>
      <c r="E77" s="60">
        <v>0</v>
      </c>
      <c r="F77" s="60">
        <v>0</v>
      </c>
      <c r="G77" s="60">
        <v>0</v>
      </c>
      <c r="H77" s="60">
        <v>0</v>
      </c>
      <c r="I77" s="61">
        <v>0</v>
      </c>
      <c r="J77" s="66">
        <v>0</v>
      </c>
      <c r="K77" s="63">
        <f t="shared" si="0"/>
        <v>0</v>
      </c>
      <c r="L77" s="64" t="e">
        <f t="shared" si="1"/>
        <v>#DIV/0!</v>
      </c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15.65" x14ac:dyDescent="0.3">
      <c r="A78" s="33">
        <v>77</v>
      </c>
      <c r="B78" s="58" t="s">
        <v>247</v>
      </c>
      <c r="C78" s="69"/>
      <c r="D78" s="60"/>
      <c r="E78" s="60">
        <v>0</v>
      </c>
      <c r="F78" s="60">
        <v>0</v>
      </c>
      <c r="G78" s="60">
        <v>0</v>
      </c>
      <c r="H78" s="60">
        <v>0</v>
      </c>
      <c r="I78" s="61">
        <v>0</v>
      </c>
      <c r="J78" s="66">
        <v>0</v>
      </c>
      <c r="K78" s="63">
        <f t="shared" si="0"/>
        <v>0</v>
      </c>
      <c r="L78" s="64" t="e">
        <f t="shared" si="1"/>
        <v>#DIV/0!</v>
      </c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15.65" x14ac:dyDescent="0.3">
      <c r="A79" s="33">
        <v>78</v>
      </c>
      <c r="B79" s="58" t="s">
        <v>248</v>
      </c>
      <c r="C79" s="69"/>
      <c r="D79" s="60"/>
      <c r="E79" s="60">
        <v>0</v>
      </c>
      <c r="F79" s="60">
        <v>0</v>
      </c>
      <c r="G79" s="60">
        <v>0</v>
      </c>
      <c r="H79" s="60">
        <v>0</v>
      </c>
      <c r="I79" s="61">
        <v>0</v>
      </c>
      <c r="J79" s="66">
        <v>0</v>
      </c>
      <c r="K79" s="63">
        <f t="shared" si="0"/>
        <v>0</v>
      </c>
      <c r="L79" s="64" t="e">
        <f t="shared" si="1"/>
        <v>#DIV/0!</v>
      </c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5.65" x14ac:dyDescent="0.3">
      <c r="A80" s="33">
        <v>79</v>
      </c>
      <c r="B80" s="58" t="s">
        <v>249</v>
      </c>
      <c r="C80" s="69"/>
      <c r="D80" s="60"/>
      <c r="E80" s="60">
        <v>0</v>
      </c>
      <c r="F80" s="60">
        <v>0</v>
      </c>
      <c r="G80" s="60">
        <v>0</v>
      </c>
      <c r="H80" s="60">
        <v>0</v>
      </c>
      <c r="I80" s="61">
        <v>0</v>
      </c>
      <c r="J80" s="66">
        <v>0</v>
      </c>
      <c r="K80" s="63">
        <f t="shared" si="0"/>
        <v>0</v>
      </c>
      <c r="L80" s="64" t="e">
        <f t="shared" si="1"/>
        <v>#DIV/0!</v>
      </c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15.65" x14ac:dyDescent="0.3">
      <c r="A81" s="33">
        <v>80</v>
      </c>
      <c r="B81" s="58" t="s">
        <v>250</v>
      </c>
      <c r="C81" s="69"/>
      <c r="D81" s="60"/>
      <c r="E81" s="60">
        <v>0</v>
      </c>
      <c r="F81" s="60">
        <v>0</v>
      </c>
      <c r="G81" s="60">
        <v>0</v>
      </c>
      <c r="H81" s="60">
        <v>0</v>
      </c>
      <c r="I81" s="61">
        <v>0</v>
      </c>
      <c r="J81" s="66">
        <v>0</v>
      </c>
      <c r="K81" s="63">
        <f t="shared" si="0"/>
        <v>0</v>
      </c>
      <c r="L81" s="64" t="e">
        <f t="shared" si="1"/>
        <v>#DIV/0!</v>
      </c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15.65" x14ac:dyDescent="0.3">
      <c r="A82" s="33">
        <v>81</v>
      </c>
      <c r="B82" s="58" t="s">
        <v>251</v>
      </c>
      <c r="C82" s="69"/>
      <c r="D82" s="60"/>
      <c r="E82" s="60">
        <v>0</v>
      </c>
      <c r="F82" s="60">
        <v>0</v>
      </c>
      <c r="G82" s="60">
        <v>0</v>
      </c>
      <c r="H82" s="60">
        <v>0</v>
      </c>
      <c r="I82" s="61">
        <v>0</v>
      </c>
      <c r="J82" s="66">
        <v>0</v>
      </c>
      <c r="K82" s="63">
        <f t="shared" si="0"/>
        <v>0</v>
      </c>
      <c r="L82" s="64" t="e">
        <f t="shared" si="1"/>
        <v>#DIV/0!</v>
      </c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15.65" x14ac:dyDescent="0.3">
      <c r="A83" s="33">
        <v>82</v>
      </c>
      <c r="B83" s="58" t="s">
        <v>252</v>
      </c>
      <c r="C83" s="69"/>
      <c r="D83" s="60"/>
      <c r="E83" s="60">
        <v>0</v>
      </c>
      <c r="F83" s="60">
        <v>0</v>
      </c>
      <c r="G83" s="60">
        <v>0</v>
      </c>
      <c r="H83" s="60">
        <v>0</v>
      </c>
      <c r="I83" s="61">
        <v>0</v>
      </c>
      <c r="J83" s="66">
        <v>0</v>
      </c>
      <c r="K83" s="63">
        <f t="shared" si="0"/>
        <v>0</v>
      </c>
      <c r="L83" s="64" t="e">
        <f t="shared" si="1"/>
        <v>#DIV/0!</v>
      </c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6.899999999999999" x14ac:dyDescent="0.3">
      <c r="A84" s="70"/>
      <c r="B84" s="71"/>
      <c r="C84" s="72"/>
      <c r="D84" s="73"/>
      <c r="E84" s="73">
        <f t="shared" ref="E84:I84" si="2">SUM(E2:E83)</f>
        <v>1781395000</v>
      </c>
      <c r="F84" s="73">
        <f t="shared" si="2"/>
        <v>1012740000</v>
      </c>
      <c r="G84" s="73">
        <f t="shared" si="2"/>
        <v>84030000</v>
      </c>
      <c r="H84" s="73">
        <f t="shared" si="2"/>
        <v>684625000</v>
      </c>
      <c r="I84" s="73">
        <f t="shared" si="2"/>
        <v>0</v>
      </c>
      <c r="J84" s="74">
        <f>SUM(J2:J83)</f>
        <v>1728</v>
      </c>
      <c r="K84" s="73">
        <f>SUM(K2:K83)</f>
        <v>134973600</v>
      </c>
      <c r="L84" s="64">
        <f t="shared" si="1"/>
        <v>0.61568040777031485</v>
      </c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5.65" x14ac:dyDescent="0.3">
      <c r="A85" s="75"/>
      <c r="B85" s="76"/>
      <c r="C85" s="75"/>
      <c r="D85" s="75"/>
      <c r="E85" s="75"/>
      <c r="F85" s="75">
        <f t="shared" ref="F85:I85" si="3">(F84/$E$84)</f>
        <v>0.56850951080473444</v>
      </c>
      <c r="G85" s="75">
        <f t="shared" si="3"/>
        <v>4.7170896965580349E-2</v>
      </c>
      <c r="H85" s="75">
        <f t="shared" si="3"/>
        <v>0.38431959222968515</v>
      </c>
      <c r="I85" s="75">
        <f t="shared" si="3"/>
        <v>0</v>
      </c>
      <c r="J85" s="74"/>
      <c r="K85" s="77">
        <f>(K84/(F84+G84))</f>
        <v>0.12306463524713476</v>
      </c>
      <c r="L85" s="64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 spans="1:27" ht="15.65" x14ac:dyDescent="0.3">
      <c r="A86" s="70"/>
      <c r="B86" s="71"/>
      <c r="C86" s="72"/>
      <c r="D86" s="72"/>
      <c r="E86" s="78"/>
      <c r="F86" s="72"/>
      <c r="G86" s="72"/>
      <c r="H86" s="72"/>
      <c r="I86" s="79"/>
      <c r="J86" s="74"/>
      <c r="K86" s="80"/>
      <c r="L86" s="64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5.65" x14ac:dyDescent="0.3">
      <c r="A87" s="70"/>
      <c r="B87" s="71"/>
      <c r="C87" s="72"/>
      <c r="D87" s="72"/>
      <c r="E87" s="72"/>
      <c r="F87" s="72"/>
      <c r="G87" s="72"/>
      <c r="H87" s="72"/>
      <c r="I87" s="79"/>
      <c r="J87" s="74"/>
      <c r="K87" s="80"/>
      <c r="L87" s="64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5.65" x14ac:dyDescent="0.3">
      <c r="A88" s="70"/>
      <c r="B88" s="71"/>
      <c r="C88" s="72"/>
      <c r="D88" s="72"/>
      <c r="E88" s="72"/>
      <c r="F88" s="72"/>
      <c r="G88" s="72"/>
      <c r="H88" s="72"/>
      <c r="I88" s="79"/>
      <c r="J88" s="74"/>
      <c r="K88" s="80"/>
      <c r="L88" s="64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5.65" x14ac:dyDescent="0.3">
      <c r="A89" s="70"/>
      <c r="B89" s="71"/>
      <c r="C89" s="72"/>
      <c r="D89" s="72"/>
      <c r="E89" s="72"/>
      <c r="F89" s="72"/>
      <c r="G89" s="72"/>
      <c r="H89" s="72"/>
      <c r="I89" s="79"/>
      <c r="J89" s="74"/>
      <c r="K89" s="80"/>
      <c r="L89" s="64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5.65" x14ac:dyDescent="0.3">
      <c r="A90" s="70"/>
      <c r="B90" s="71"/>
      <c r="C90" s="72"/>
      <c r="D90" s="72"/>
      <c r="E90" s="72"/>
      <c r="F90" s="72"/>
      <c r="G90" s="72"/>
      <c r="H90" s="72"/>
      <c r="I90" s="79"/>
      <c r="J90" s="74"/>
      <c r="K90" s="80"/>
      <c r="L90" s="64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5.65" x14ac:dyDescent="0.3">
      <c r="A91" s="70"/>
      <c r="B91" s="71"/>
      <c r="C91" s="72"/>
      <c r="D91" s="72"/>
      <c r="E91" s="72"/>
      <c r="F91" s="72"/>
      <c r="G91" s="72"/>
      <c r="H91" s="72"/>
      <c r="I91" s="79"/>
      <c r="J91" s="74"/>
      <c r="K91" s="80"/>
      <c r="L91" s="64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5.65" x14ac:dyDescent="0.3">
      <c r="A92" s="70"/>
      <c r="B92" s="71"/>
      <c r="C92" s="72"/>
      <c r="D92" s="72"/>
      <c r="E92" s="72"/>
      <c r="F92" s="72"/>
      <c r="G92" s="72"/>
      <c r="H92" s="72"/>
      <c r="I92" s="79"/>
      <c r="J92" s="74"/>
      <c r="K92" s="80"/>
      <c r="L92" s="64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5.65" x14ac:dyDescent="0.3">
      <c r="A93" s="70"/>
      <c r="B93" s="71"/>
      <c r="C93" s="72"/>
      <c r="D93" s="72"/>
      <c r="E93" s="72"/>
      <c r="F93" s="72"/>
      <c r="G93" s="72"/>
      <c r="H93" s="72"/>
      <c r="I93" s="79"/>
      <c r="J93" s="74"/>
      <c r="K93" s="80"/>
      <c r="L93" s="64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5.65" x14ac:dyDescent="0.3">
      <c r="A94" s="70"/>
      <c r="B94" s="71"/>
      <c r="C94" s="72"/>
      <c r="D94" s="72"/>
      <c r="E94" s="72"/>
      <c r="F94" s="72"/>
      <c r="G94" s="72"/>
      <c r="H94" s="72"/>
      <c r="I94" s="79"/>
      <c r="J94" s="74"/>
      <c r="K94" s="80"/>
      <c r="L94" s="64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5.65" x14ac:dyDescent="0.3">
      <c r="A95" s="70"/>
      <c r="B95" s="71"/>
      <c r="C95" s="72"/>
      <c r="D95" s="72"/>
      <c r="E95" s="72"/>
      <c r="F95" s="72"/>
      <c r="G95" s="72"/>
      <c r="H95" s="72"/>
      <c r="I95" s="79"/>
      <c r="J95" s="74"/>
      <c r="K95" s="80"/>
      <c r="L95" s="64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spans="1:27" ht="15.65" x14ac:dyDescent="0.3">
      <c r="A96" s="70"/>
      <c r="B96" s="71"/>
      <c r="C96" s="72"/>
      <c r="D96" s="72"/>
      <c r="E96" s="72"/>
      <c r="F96" s="72"/>
      <c r="G96" s="72"/>
      <c r="H96" s="72"/>
      <c r="I96" s="79"/>
      <c r="J96" s="74"/>
      <c r="K96" s="80"/>
      <c r="L96" s="64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5.65" x14ac:dyDescent="0.3">
      <c r="A97" s="70"/>
      <c r="B97" s="71"/>
      <c r="C97" s="72"/>
      <c r="D97" s="72"/>
      <c r="E97" s="72"/>
      <c r="F97" s="72"/>
      <c r="G97" s="72"/>
      <c r="H97" s="72"/>
      <c r="I97" s="79"/>
      <c r="J97" s="74"/>
      <c r="K97" s="80"/>
      <c r="L97" s="64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5.65" x14ac:dyDescent="0.3">
      <c r="A98" s="70"/>
      <c r="B98" s="71"/>
      <c r="C98" s="72"/>
      <c r="D98" s="72"/>
      <c r="E98" s="72"/>
      <c r="F98" s="72"/>
      <c r="G98" s="72"/>
      <c r="H98" s="72"/>
      <c r="I98" s="79"/>
      <c r="J98" s="74"/>
      <c r="K98" s="80"/>
      <c r="L98" s="64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5.65" x14ac:dyDescent="0.3">
      <c r="A99" s="70"/>
      <c r="B99" s="71"/>
      <c r="C99" s="72"/>
      <c r="D99" s="72"/>
      <c r="E99" s="72"/>
      <c r="F99" s="72"/>
      <c r="G99" s="72"/>
      <c r="H99" s="72"/>
      <c r="I99" s="79"/>
      <c r="J99" s="74"/>
      <c r="K99" s="80"/>
      <c r="L99" s="64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5.65" x14ac:dyDescent="0.3">
      <c r="A100" s="70"/>
      <c r="B100" s="71"/>
      <c r="C100" s="72"/>
      <c r="D100" s="72"/>
      <c r="E100" s="72"/>
      <c r="F100" s="72"/>
      <c r="G100" s="72"/>
      <c r="H100" s="72"/>
      <c r="I100" s="79"/>
      <c r="J100" s="74"/>
      <c r="K100" s="80"/>
      <c r="L100" s="64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5.65" x14ac:dyDescent="0.3">
      <c r="A101" s="70"/>
      <c r="B101" s="71"/>
      <c r="C101" s="72"/>
      <c r="D101" s="72"/>
      <c r="E101" s="72"/>
      <c r="F101" s="72"/>
      <c r="G101" s="72"/>
      <c r="H101" s="72"/>
      <c r="I101" s="79"/>
      <c r="J101" s="74"/>
      <c r="K101" s="80"/>
      <c r="L101" s="64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5.65" x14ac:dyDescent="0.3">
      <c r="A102" s="70"/>
      <c r="B102" s="71"/>
      <c r="C102" s="72"/>
      <c r="D102" s="72"/>
      <c r="E102" s="72"/>
      <c r="F102" s="72"/>
      <c r="G102" s="72"/>
      <c r="H102" s="72"/>
      <c r="I102" s="79"/>
      <c r="J102" s="74"/>
      <c r="K102" s="80"/>
      <c r="L102" s="64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5.65" x14ac:dyDescent="0.3">
      <c r="A103" s="70"/>
      <c r="B103" s="71"/>
      <c r="C103" s="72"/>
      <c r="D103" s="72"/>
      <c r="E103" s="72"/>
      <c r="F103" s="72"/>
      <c r="G103" s="72"/>
      <c r="H103" s="72"/>
      <c r="I103" s="79"/>
      <c r="J103" s="74"/>
      <c r="K103" s="80"/>
      <c r="L103" s="64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5.65" x14ac:dyDescent="0.3">
      <c r="A104" s="70"/>
      <c r="B104" s="71"/>
      <c r="C104" s="72"/>
      <c r="D104" s="72"/>
      <c r="E104" s="72"/>
      <c r="F104" s="72"/>
      <c r="G104" s="72"/>
      <c r="H104" s="72"/>
      <c r="I104" s="79"/>
      <c r="J104" s="74"/>
      <c r="K104" s="80"/>
      <c r="L104" s="64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5.65" x14ac:dyDescent="0.3">
      <c r="A105" s="70"/>
      <c r="B105" s="71"/>
      <c r="C105" s="72"/>
      <c r="D105" s="72"/>
      <c r="E105" s="72"/>
      <c r="F105" s="72"/>
      <c r="G105" s="72"/>
      <c r="H105" s="72"/>
      <c r="I105" s="79"/>
      <c r="J105" s="74"/>
      <c r="K105" s="80"/>
      <c r="L105" s="64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5.65" x14ac:dyDescent="0.3">
      <c r="A106" s="70"/>
      <c r="B106" s="71"/>
      <c r="C106" s="72"/>
      <c r="D106" s="72"/>
      <c r="E106" s="72"/>
      <c r="F106" s="72"/>
      <c r="G106" s="72"/>
      <c r="H106" s="72"/>
      <c r="I106" s="79"/>
      <c r="J106" s="74"/>
      <c r="K106" s="80"/>
      <c r="L106" s="64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5.65" x14ac:dyDescent="0.3">
      <c r="A107" s="70"/>
      <c r="B107" s="71"/>
      <c r="C107" s="72"/>
      <c r="D107" s="72"/>
      <c r="E107" s="72"/>
      <c r="F107" s="72"/>
      <c r="G107" s="72"/>
      <c r="H107" s="72"/>
      <c r="I107" s="79"/>
      <c r="J107" s="74"/>
      <c r="K107" s="80"/>
      <c r="L107" s="64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5.65" x14ac:dyDescent="0.3">
      <c r="A108" s="70"/>
      <c r="B108" s="71"/>
      <c r="C108" s="72"/>
      <c r="D108" s="72"/>
      <c r="E108" s="72"/>
      <c r="F108" s="72"/>
      <c r="G108" s="72"/>
      <c r="H108" s="72"/>
      <c r="I108" s="79"/>
      <c r="J108" s="74"/>
      <c r="K108" s="80"/>
      <c r="L108" s="64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5.65" x14ac:dyDescent="0.3">
      <c r="A109" s="70"/>
      <c r="B109" s="71"/>
      <c r="C109" s="72"/>
      <c r="D109" s="72"/>
      <c r="E109" s="72"/>
      <c r="F109" s="72"/>
      <c r="G109" s="72"/>
      <c r="H109" s="72"/>
      <c r="I109" s="79"/>
      <c r="J109" s="74"/>
      <c r="K109" s="80"/>
      <c r="L109" s="64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5.65" x14ac:dyDescent="0.3">
      <c r="A110" s="70"/>
      <c r="B110" s="71"/>
      <c r="C110" s="72"/>
      <c r="D110" s="72"/>
      <c r="E110" s="72"/>
      <c r="F110" s="72"/>
      <c r="G110" s="72"/>
      <c r="H110" s="72"/>
      <c r="I110" s="79"/>
      <c r="J110" s="74"/>
      <c r="K110" s="80"/>
      <c r="L110" s="64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5.65" x14ac:dyDescent="0.3">
      <c r="A111" s="70"/>
      <c r="B111" s="71"/>
      <c r="C111" s="72"/>
      <c r="D111" s="72"/>
      <c r="E111" s="72"/>
      <c r="F111" s="72"/>
      <c r="G111" s="72"/>
      <c r="H111" s="72"/>
      <c r="I111" s="79"/>
      <c r="J111" s="74"/>
      <c r="K111" s="80"/>
      <c r="L111" s="64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5.65" x14ac:dyDescent="0.3">
      <c r="A112" s="70"/>
      <c r="B112" s="71"/>
      <c r="C112" s="72"/>
      <c r="D112" s="72"/>
      <c r="E112" s="72"/>
      <c r="F112" s="72"/>
      <c r="G112" s="72"/>
      <c r="H112" s="72"/>
      <c r="I112" s="79"/>
      <c r="J112" s="74"/>
      <c r="K112" s="80"/>
      <c r="L112" s="64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5.65" x14ac:dyDescent="0.3">
      <c r="A113" s="70"/>
      <c r="B113" s="71"/>
      <c r="C113" s="72"/>
      <c r="D113" s="72"/>
      <c r="E113" s="72"/>
      <c r="F113" s="72"/>
      <c r="G113" s="72"/>
      <c r="H113" s="72"/>
      <c r="I113" s="79"/>
      <c r="J113" s="74"/>
      <c r="K113" s="80"/>
      <c r="L113" s="64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5.65" x14ac:dyDescent="0.3">
      <c r="A114" s="70"/>
      <c r="B114" s="71"/>
      <c r="C114" s="72"/>
      <c r="D114" s="72"/>
      <c r="E114" s="72"/>
      <c r="F114" s="72"/>
      <c r="G114" s="72"/>
      <c r="H114" s="72"/>
      <c r="I114" s="79"/>
      <c r="J114" s="74"/>
      <c r="K114" s="80"/>
      <c r="L114" s="64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5.65" x14ac:dyDescent="0.3">
      <c r="A115" s="70"/>
      <c r="B115" s="71"/>
      <c r="C115" s="72"/>
      <c r="D115" s="72"/>
      <c r="E115" s="72"/>
      <c r="F115" s="72"/>
      <c r="G115" s="72"/>
      <c r="H115" s="72"/>
      <c r="I115" s="79"/>
      <c r="J115" s="74"/>
      <c r="K115" s="80"/>
      <c r="L115" s="64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5.65" x14ac:dyDescent="0.3">
      <c r="A116" s="70"/>
      <c r="B116" s="71"/>
      <c r="C116" s="72"/>
      <c r="D116" s="72"/>
      <c r="E116" s="72"/>
      <c r="F116" s="72"/>
      <c r="G116" s="72"/>
      <c r="H116" s="72"/>
      <c r="I116" s="79"/>
      <c r="J116" s="74"/>
      <c r="K116" s="80"/>
      <c r="L116" s="64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5.65" x14ac:dyDescent="0.3">
      <c r="A117" s="70"/>
      <c r="B117" s="71"/>
      <c r="C117" s="72"/>
      <c r="D117" s="72"/>
      <c r="E117" s="72"/>
      <c r="F117" s="72"/>
      <c r="G117" s="72"/>
      <c r="H117" s="72"/>
      <c r="I117" s="79"/>
      <c r="J117" s="74"/>
      <c r="K117" s="80"/>
      <c r="L117" s="64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5.65" x14ac:dyDescent="0.3">
      <c r="A118" s="70"/>
      <c r="B118" s="71"/>
      <c r="C118" s="72"/>
      <c r="D118" s="72"/>
      <c r="E118" s="72"/>
      <c r="F118" s="72"/>
      <c r="G118" s="72"/>
      <c r="H118" s="72"/>
      <c r="I118" s="79"/>
      <c r="J118" s="74"/>
      <c r="K118" s="80"/>
      <c r="L118" s="64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5.65" x14ac:dyDescent="0.3">
      <c r="A119" s="70"/>
      <c r="B119" s="71"/>
      <c r="C119" s="72"/>
      <c r="D119" s="72"/>
      <c r="E119" s="72"/>
      <c r="F119" s="72"/>
      <c r="G119" s="72"/>
      <c r="H119" s="72"/>
      <c r="I119" s="79"/>
      <c r="J119" s="74"/>
      <c r="K119" s="80"/>
      <c r="L119" s="64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5.65" x14ac:dyDescent="0.3">
      <c r="A120" s="70"/>
      <c r="B120" s="71"/>
      <c r="C120" s="72"/>
      <c r="D120" s="72"/>
      <c r="E120" s="72"/>
      <c r="F120" s="72"/>
      <c r="G120" s="72"/>
      <c r="H120" s="72"/>
      <c r="I120" s="79"/>
      <c r="J120" s="74"/>
      <c r="K120" s="80"/>
      <c r="L120" s="64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5.65" x14ac:dyDescent="0.3">
      <c r="A121" s="70"/>
      <c r="B121" s="71"/>
      <c r="C121" s="72"/>
      <c r="D121" s="72"/>
      <c r="E121" s="72"/>
      <c r="F121" s="72"/>
      <c r="G121" s="72"/>
      <c r="H121" s="72"/>
      <c r="I121" s="79"/>
      <c r="J121" s="74"/>
      <c r="K121" s="80"/>
      <c r="L121" s="64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5.65" x14ac:dyDescent="0.3">
      <c r="A122" s="70"/>
      <c r="B122" s="71"/>
      <c r="C122" s="72"/>
      <c r="D122" s="72"/>
      <c r="E122" s="72"/>
      <c r="F122" s="72"/>
      <c r="G122" s="72"/>
      <c r="H122" s="72"/>
      <c r="I122" s="79"/>
      <c r="J122" s="74"/>
      <c r="K122" s="80"/>
      <c r="L122" s="64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5.65" x14ac:dyDescent="0.3">
      <c r="A123" s="70"/>
      <c r="B123" s="71"/>
      <c r="C123" s="72"/>
      <c r="D123" s="72"/>
      <c r="E123" s="72"/>
      <c r="F123" s="72"/>
      <c r="G123" s="72"/>
      <c r="H123" s="72"/>
      <c r="I123" s="79"/>
      <c r="J123" s="74"/>
      <c r="K123" s="80"/>
      <c r="L123" s="64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5.65" x14ac:dyDescent="0.3">
      <c r="A124" s="70"/>
      <c r="B124" s="71"/>
      <c r="C124" s="72"/>
      <c r="D124" s="72"/>
      <c r="E124" s="72"/>
      <c r="F124" s="72"/>
      <c r="G124" s="72"/>
      <c r="H124" s="72"/>
      <c r="I124" s="79"/>
      <c r="J124" s="74"/>
      <c r="K124" s="80"/>
      <c r="L124" s="64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5.65" x14ac:dyDescent="0.3">
      <c r="A125" s="70"/>
      <c r="B125" s="71"/>
      <c r="C125" s="72"/>
      <c r="D125" s="72"/>
      <c r="E125" s="72"/>
      <c r="F125" s="72"/>
      <c r="G125" s="72"/>
      <c r="H125" s="72"/>
      <c r="I125" s="79"/>
      <c r="J125" s="74"/>
      <c r="K125" s="80"/>
      <c r="L125" s="64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5.65" x14ac:dyDescent="0.3">
      <c r="A126" s="70"/>
      <c r="B126" s="71"/>
      <c r="C126" s="72"/>
      <c r="D126" s="72"/>
      <c r="E126" s="72"/>
      <c r="F126" s="72"/>
      <c r="G126" s="72"/>
      <c r="H126" s="72"/>
      <c r="I126" s="79"/>
      <c r="J126" s="74"/>
      <c r="K126" s="80"/>
      <c r="L126" s="64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5.65" x14ac:dyDescent="0.3">
      <c r="A127" s="70"/>
      <c r="B127" s="71"/>
      <c r="C127" s="72"/>
      <c r="D127" s="72"/>
      <c r="E127" s="72"/>
      <c r="F127" s="72"/>
      <c r="G127" s="72"/>
      <c r="H127" s="72"/>
      <c r="I127" s="79"/>
      <c r="J127" s="74"/>
      <c r="K127" s="80"/>
      <c r="L127" s="64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5.65" x14ac:dyDescent="0.3">
      <c r="A128" s="70"/>
      <c r="B128" s="71"/>
      <c r="C128" s="72"/>
      <c r="D128" s="72"/>
      <c r="E128" s="72"/>
      <c r="F128" s="72"/>
      <c r="G128" s="72"/>
      <c r="H128" s="72"/>
      <c r="I128" s="79"/>
      <c r="J128" s="74"/>
      <c r="K128" s="80"/>
      <c r="L128" s="64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5.65" x14ac:dyDescent="0.3">
      <c r="A129" s="70"/>
      <c r="B129" s="71"/>
      <c r="C129" s="72"/>
      <c r="D129" s="72"/>
      <c r="E129" s="72"/>
      <c r="F129" s="72"/>
      <c r="G129" s="72"/>
      <c r="H129" s="72"/>
      <c r="I129" s="79"/>
      <c r="J129" s="74"/>
      <c r="K129" s="80"/>
      <c r="L129" s="64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5.65" x14ac:dyDescent="0.3">
      <c r="A130" s="70"/>
      <c r="B130" s="71"/>
      <c r="C130" s="72"/>
      <c r="D130" s="72"/>
      <c r="E130" s="72"/>
      <c r="F130" s="72"/>
      <c r="G130" s="72"/>
      <c r="H130" s="72"/>
      <c r="I130" s="79"/>
      <c r="J130" s="74"/>
      <c r="K130" s="80"/>
      <c r="L130" s="64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5.65" x14ac:dyDescent="0.3">
      <c r="A131" s="70"/>
      <c r="B131" s="71"/>
      <c r="C131" s="72"/>
      <c r="D131" s="72"/>
      <c r="E131" s="72"/>
      <c r="F131" s="72"/>
      <c r="G131" s="72"/>
      <c r="H131" s="72"/>
      <c r="I131" s="79"/>
      <c r="J131" s="74"/>
      <c r="K131" s="80"/>
      <c r="L131" s="64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5.65" x14ac:dyDescent="0.3">
      <c r="A132" s="70"/>
      <c r="B132" s="71"/>
      <c r="C132" s="72"/>
      <c r="D132" s="72"/>
      <c r="E132" s="72"/>
      <c r="F132" s="72"/>
      <c r="G132" s="72"/>
      <c r="H132" s="72"/>
      <c r="I132" s="79"/>
      <c r="J132" s="74"/>
      <c r="K132" s="80"/>
      <c r="L132" s="64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5.65" x14ac:dyDescent="0.3">
      <c r="A133" s="70"/>
      <c r="B133" s="71"/>
      <c r="C133" s="72"/>
      <c r="D133" s="72"/>
      <c r="E133" s="72"/>
      <c r="F133" s="72"/>
      <c r="G133" s="72"/>
      <c r="H133" s="72"/>
      <c r="I133" s="79"/>
      <c r="J133" s="74"/>
      <c r="K133" s="80"/>
      <c r="L133" s="64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5.65" x14ac:dyDescent="0.3">
      <c r="A134" s="70"/>
      <c r="B134" s="71"/>
      <c r="C134" s="72"/>
      <c r="D134" s="72"/>
      <c r="E134" s="72"/>
      <c r="F134" s="72"/>
      <c r="G134" s="72"/>
      <c r="H134" s="72"/>
      <c r="I134" s="79"/>
      <c r="J134" s="74"/>
      <c r="K134" s="80"/>
      <c r="L134" s="64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5.65" x14ac:dyDescent="0.3">
      <c r="A135" s="70"/>
      <c r="B135" s="71"/>
      <c r="C135" s="72"/>
      <c r="D135" s="72"/>
      <c r="E135" s="72"/>
      <c r="F135" s="72"/>
      <c r="G135" s="72"/>
      <c r="H135" s="72"/>
      <c r="I135" s="79"/>
      <c r="J135" s="74"/>
      <c r="K135" s="80"/>
      <c r="L135" s="64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5.65" x14ac:dyDescent="0.3">
      <c r="A136" s="70"/>
      <c r="B136" s="71"/>
      <c r="C136" s="72"/>
      <c r="D136" s="72"/>
      <c r="E136" s="72"/>
      <c r="F136" s="72"/>
      <c r="G136" s="72"/>
      <c r="H136" s="72"/>
      <c r="I136" s="79"/>
      <c r="J136" s="74"/>
      <c r="K136" s="80"/>
      <c r="L136" s="64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5.65" x14ac:dyDescent="0.3">
      <c r="A137" s="70"/>
      <c r="B137" s="71"/>
      <c r="C137" s="72"/>
      <c r="D137" s="72"/>
      <c r="E137" s="72"/>
      <c r="F137" s="72"/>
      <c r="G137" s="72"/>
      <c r="H137" s="72"/>
      <c r="I137" s="79"/>
      <c r="J137" s="74"/>
      <c r="K137" s="80"/>
      <c r="L137" s="64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5.65" x14ac:dyDescent="0.3">
      <c r="A138" s="70"/>
      <c r="B138" s="71"/>
      <c r="C138" s="72"/>
      <c r="D138" s="72"/>
      <c r="E138" s="72"/>
      <c r="F138" s="72"/>
      <c r="G138" s="72"/>
      <c r="H138" s="72"/>
      <c r="I138" s="79"/>
      <c r="J138" s="74"/>
      <c r="K138" s="80"/>
      <c r="L138" s="64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5.65" x14ac:dyDescent="0.3">
      <c r="A139" s="70"/>
      <c r="B139" s="71"/>
      <c r="C139" s="72"/>
      <c r="D139" s="72"/>
      <c r="E139" s="72"/>
      <c r="F139" s="72"/>
      <c r="G139" s="72"/>
      <c r="H139" s="72"/>
      <c r="I139" s="79"/>
      <c r="J139" s="74"/>
      <c r="K139" s="80"/>
      <c r="L139" s="64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5.65" x14ac:dyDescent="0.3">
      <c r="A140" s="70"/>
      <c r="B140" s="71"/>
      <c r="C140" s="72"/>
      <c r="D140" s="72"/>
      <c r="E140" s="72"/>
      <c r="F140" s="72"/>
      <c r="G140" s="72"/>
      <c r="H140" s="72"/>
      <c r="I140" s="79"/>
      <c r="J140" s="74"/>
      <c r="K140" s="80"/>
      <c r="L140" s="64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5.65" x14ac:dyDescent="0.3">
      <c r="A141" s="70"/>
      <c r="B141" s="71"/>
      <c r="C141" s="72"/>
      <c r="D141" s="72"/>
      <c r="E141" s="72"/>
      <c r="F141" s="72"/>
      <c r="G141" s="72"/>
      <c r="H141" s="72"/>
      <c r="I141" s="79"/>
      <c r="J141" s="74"/>
      <c r="K141" s="80"/>
      <c r="L141" s="64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5.65" x14ac:dyDescent="0.3">
      <c r="A142" s="70"/>
      <c r="B142" s="71"/>
      <c r="C142" s="72"/>
      <c r="D142" s="72"/>
      <c r="E142" s="72"/>
      <c r="F142" s="72"/>
      <c r="G142" s="72"/>
      <c r="H142" s="72"/>
      <c r="I142" s="79"/>
      <c r="J142" s="74"/>
      <c r="K142" s="80"/>
      <c r="L142" s="64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5.65" x14ac:dyDescent="0.3">
      <c r="A143" s="70"/>
      <c r="B143" s="71"/>
      <c r="C143" s="72"/>
      <c r="D143" s="72"/>
      <c r="E143" s="72"/>
      <c r="F143" s="72"/>
      <c r="G143" s="72"/>
      <c r="H143" s="72"/>
      <c r="I143" s="79"/>
      <c r="J143" s="74"/>
      <c r="K143" s="80"/>
      <c r="L143" s="64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5.65" x14ac:dyDescent="0.3">
      <c r="A144" s="70"/>
      <c r="B144" s="71"/>
      <c r="C144" s="72"/>
      <c r="D144" s="72"/>
      <c r="E144" s="72"/>
      <c r="F144" s="72"/>
      <c r="G144" s="72"/>
      <c r="H144" s="72"/>
      <c r="I144" s="79"/>
      <c r="J144" s="74"/>
      <c r="K144" s="80"/>
      <c r="L144" s="64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5.65" x14ac:dyDescent="0.3">
      <c r="A145" s="70"/>
      <c r="B145" s="71"/>
      <c r="C145" s="72"/>
      <c r="D145" s="72"/>
      <c r="E145" s="72"/>
      <c r="F145" s="72"/>
      <c r="G145" s="72"/>
      <c r="H145" s="72"/>
      <c r="I145" s="79"/>
      <c r="J145" s="74"/>
      <c r="K145" s="80"/>
      <c r="L145" s="64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5.65" x14ac:dyDescent="0.3">
      <c r="A146" s="70"/>
      <c r="B146" s="71"/>
      <c r="C146" s="72"/>
      <c r="D146" s="72"/>
      <c r="E146" s="72"/>
      <c r="F146" s="72"/>
      <c r="G146" s="72"/>
      <c r="H146" s="72"/>
      <c r="I146" s="79"/>
      <c r="J146" s="74"/>
      <c r="K146" s="80"/>
      <c r="L146" s="64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5.65" x14ac:dyDescent="0.3">
      <c r="A147" s="70"/>
      <c r="B147" s="71"/>
      <c r="C147" s="72"/>
      <c r="D147" s="72"/>
      <c r="E147" s="72"/>
      <c r="F147" s="72"/>
      <c r="G147" s="72"/>
      <c r="H147" s="72"/>
      <c r="I147" s="79"/>
      <c r="J147" s="74"/>
      <c r="K147" s="80"/>
      <c r="L147" s="64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5.65" x14ac:dyDescent="0.3">
      <c r="A148" s="70"/>
      <c r="B148" s="71"/>
      <c r="C148" s="72"/>
      <c r="D148" s="72"/>
      <c r="E148" s="72"/>
      <c r="F148" s="72"/>
      <c r="G148" s="72"/>
      <c r="H148" s="72"/>
      <c r="I148" s="79"/>
      <c r="J148" s="74"/>
      <c r="K148" s="80"/>
      <c r="L148" s="64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5.65" x14ac:dyDescent="0.3">
      <c r="A149" s="70"/>
      <c r="B149" s="71"/>
      <c r="C149" s="72"/>
      <c r="D149" s="72"/>
      <c r="E149" s="72"/>
      <c r="F149" s="72"/>
      <c r="G149" s="72"/>
      <c r="H149" s="72"/>
      <c r="I149" s="79"/>
      <c r="J149" s="74"/>
      <c r="K149" s="80"/>
      <c r="L149" s="64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5.65" x14ac:dyDescent="0.3">
      <c r="A150" s="70"/>
      <c r="B150" s="71"/>
      <c r="C150" s="72"/>
      <c r="D150" s="72"/>
      <c r="E150" s="72"/>
      <c r="F150" s="72"/>
      <c r="G150" s="72"/>
      <c r="H150" s="72"/>
      <c r="I150" s="79"/>
      <c r="J150" s="74"/>
      <c r="K150" s="80"/>
      <c r="L150" s="64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5.65" x14ac:dyDescent="0.3">
      <c r="A151" s="70"/>
      <c r="B151" s="71"/>
      <c r="C151" s="72"/>
      <c r="D151" s="72"/>
      <c r="E151" s="72"/>
      <c r="F151" s="72"/>
      <c r="G151" s="72"/>
      <c r="H151" s="72"/>
      <c r="I151" s="79"/>
      <c r="J151" s="74"/>
      <c r="K151" s="80"/>
      <c r="L151" s="64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5.65" x14ac:dyDescent="0.3">
      <c r="A152" s="70"/>
      <c r="B152" s="71"/>
      <c r="C152" s="72"/>
      <c r="D152" s="72"/>
      <c r="E152" s="72"/>
      <c r="F152" s="72"/>
      <c r="G152" s="72"/>
      <c r="H152" s="72"/>
      <c r="I152" s="79"/>
      <c r="J152" s="74"/>
      <c r="K152" s="80"/>
      <c r="L152" s="64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5.65" x14ac:dyDescent="0.3">
      <c r="A153" s="70"/>
      <c r="B153" s="71"/>
      <c r="C153" s="72"/>
      <c r="D153" s="72"/>
      <c r="E153" s="72"/>
      <c r="F153" s="72"/>
      <c r="G153" s="72"/>
      <c r="H153" s="72"/>
      <c r="I153" s="79"/>
      <c r="J153" s="74"/>
      <c r="K153" s="80"/>
      <c r="L153" s="64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5.65" x14ac:dyDescent="0.3">
      <c r="A154" s="70"/>
      <c r="B154" s="71"/>
      <c r="C154" s="72"/>
      <c r="D154" s="72"/>
      <c r="E154" s="72"/>
      <c r="F154" s="72"/>
      <c r="G154" s="72"/>
      <c r="H154" s="72"/>
      <c r="I154" s="79"/>
      <c r="J154" s="74"/>
      <c r="K154" s="80"/>
      <c r="L154" s="64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5.65" x14ac:dyDescent="0.3">
      <c r="A155" s="70"/>
      <c r="B155" s="71"/>
      <c r="C155" s="72"/>
      <c r="D155" s="72"/>
      <c r="E155" s="72"/>
      <c r="F155" s="72"/>
      <c r="G155" s="72"/>
      <c r="H155" s="72"/>
      <c r="I155" s="79"/>
      <c r="J155" s="74"/>
      <c r="K155" s="80"/>
      <c r="L155" s="64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5.65" x14ac:dyDescent="0.3">
      <c r="A156" s="70"/>
      <c r="B156" s="71"/>
      <c r="C156" s="72"/>
      <c r="D156" s="72"/>
      <c r="E156" s="72"/>
      <c r="F156" s="72"/>
      <c r="G156" s="72"/>
      <c r="H156" s="72"/>
      <c r="I156" s="79"/>
      <c r="J156" s="74"/>
      <c r="K156" s="80"/>
      <c r="L156" s="64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5.65" x14ac:dyDescent="0.3">
      <c r="A157" s="70"/>
      <c r="B157" s="71"/>
      <c r="C157" s="72"/>
      <c r="D157" s="72"/>
      <c r="E157" s="72"/>
      <c r="F157" s="72"/>
      <c r="G157" s="72"/>
      <c r="H157" s="72"/>
      <c r="I157" s="79"/>
      <c r="J157" s="74"/>
      <c r="K157" s="80"/>
      <c r="L157" s="64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5.65" x14ac:dyDescent="0.3">
      <c r="A158" s="70"/>
      <c r="B158" s="71"/>
      <c r="C158" s="72"/>
      <c r="D158" s="72"/>
      <c r="E158" s="72"/>
      <c r="F158" s="72"/>
      <c r="G158" s="72"/>
      <c r="H158" s="72"/>
      <c r="I158" s="79"/>
      <c r="J158" s="74"/>
      <c r="K158" s="80"/>
      <c r="L158" s="64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5.65" x14ac:dyDescent="0.3">
      <c r="A159" s="70"/>
      <c r="B159" s="71"/>
      <c r="C159" s="72"/>
      <c r="D159" s="72"/>
      <c r="E159" s="72"/>
      <c r="F159" s="72"/>
      <c r="G159" s="72"/>
      <c r="H159" s="72"/>
      <c r="I159" s="79"/>
      <c r="J159" s="74"/>
      <c r="K159" s="80"/>
      <c r="L159" s="64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5.65" x14ac:dyDescent="0.3">
      <c r="A160" s="70"/>
      <c r="B160" s="71"/>
      <c r="C160" s="72"/>
      <c r="D160" s="72"/>
      <c r="E160" s="72"/>
      <c r="F160" s="72"/>
      <c r="G160" s="72"/>
      <c r="H160" s="72"/>
      <c r="I160" s="79"/>
      <c r="J160" s="74"/>
      <c r="K160" s="80"/>
      <c r="L160" s="64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5.65" x14ac:dyDescent="0.3">
      <c r="A161" s="70"/>
      <c r="B161" s="71"/>
      <c r="C161" s="72"/>
      <c r="D161" s="72"/>
      <c r="E161" s="72"/>
      <c r="F161" s="72"/>
      <c r="G161" s="72"/>
      <c r="H161" s="72"/>
      <c r="I161" s="79"/>
      <c r="J161" s="74"/>
      <c r="K161" s="80"/>
      <c r="L161" s="64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5.65" x14ac:dyDescent="0.3">
      <c r="A162" s="70"/>
      <c r="B162" s="71"/>
      <c r="C162" s="72"/>
      <c r="D162" s="72"/>
      <c r="E162" s="72"/>
      <c r="F162" s="72"/>
      <c r="G162" s="72"/>
      <c r="H162" s="72"/>
      <c r="I162" s="79"/>
      <c r="J162" s="74"/>
      <c r="K162" s="80"/>
      <c r="L162" s="64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5.65" x14ac:dyDescent="0.3">
      <c r="A163" s="70"/>
      <c r="B163" s="71"/>
      <c r="C163" s="72"/>
      <c r="D163" s="72"/>
      <c r="E163" s="72"/>
      <c r="F163" s="72"/>
      <c r="G163" s="72"/>
      <c r="H163" s="72"/>
      <c r="I163" s="79"/>
      <c r="J163" s="74"/>
      <c r="K163" s="80"/>
      <c r="L163" s="64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5.65" x14ac:dyDescent="0.3">
      <c r="A164" s="70"/>
      <c r="B164" s="71"/>
      <c r="C164" s="72"/>
      <c r="D164" s="72"/>
      <c r="E164" s="72"/>
      <c r="F164" s="72"/>
      <c r="G164" s="72"/>
      <c r="H164" s="72"/>
      <c r="I164" s="79"/>
      <c r="J164" s="74"/>
      <c r="K164" s="80"/>
      <c r="L164" s="64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5.65" x14ac:dyDescent="0.3">
      <c r="A165" s="70"/>
      <c r="B165" s="71"/>
      <c r="C165" s="72"/>
      <c r="D165" s="72"/>
      <c r="E165" s="72"/>
      <c r="F165" s="72"/>
      <c r="G165" s="72"/>
      <c r="H165" s="72"/>
      <c r="I165" s="79"/>
      <c r="J165" s="74"/>
      <c r="K165" s="80"/>
      <c r="L165" s="64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5.65" x14ac:dyDescent="0.3">
      <c r="A166" s="70"/>
      <c r="B166" s="71"/>
      <c r="C166" s="72"/>
      <c r="D166" s="72"/>
      <c r="E166" s="72"/>
      <c r="F166" s="72"/>
      <c r="G166" s="72"/>
      <c r="H166" s="72"/>
      <c r="I166" s="79"/>
      <c r="J166" s="74"/>
      <c r="K166" s="80"/>
      <c r="L166" s="64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5.65" x14ac:dyDescent="0.3">
      <c r="A167" s="70"/>
      <c r="B167" s="71"/>
      <c r="C167" s="72"/>
      <c r="D167" s="72"/>
      <c r="E167" s="72"/>
      <c r="F167" s="72"/>
      <c r="G167" s="72"/>
      <c r="H167" s="72"/>
      <c r="I167" s="79"/>
      <c r="J167" s="74"/>
      <c r="K167" s="80"/>
      <c r="L167" s="64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5.65" x14ac:dyDescent="0.3">
      <c r="A168" s="70"/>
      <c r="B168" s="71"/>
      <c r="C168" s="72"/>
      <c r="D168" s="72"/>
      <c r="E168" s="72"/>
      <c r="F168" s="72"/>
      <c r="G168" s="72"/>
      <c r="H168" s="72"/>
      <c r="I168" s="79"/>
      <c r="J168" s="74"/>
      <c r="K168" s="80"/>
      <c r="L168" s="64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5.65" x14ac:dyDescent="0.3">
      <c r="A169" s="70"/>
      <c r="B169" s="71"/>
      <c r="C169" s="72"/>
      <c r="D169" s="72"/>
      <c r="E169" s="72"/>
      <c r="F169" s="72"/>
      <c r="G169" s="72"/>
      <c r="H169" s="72"/>
      <c r="I169" s="79"/>
      <c r="J169" s="74"/>
      <c r="K169" s="80"/>
      <c r="L169" s="64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5.65" x14ac:dyDescent="0.3">
      <c r="A170" s="70"/>
      <c r="B170" s="71"/>
      <c r="C170" s="72"/>
      <c r="D170" s="72"/>
      <c r="E170" s="72"/>
      <c r="F170" s="72"/>
      <c r="G170" s="72"/>
      <c r="H170" s="72"/>
      <c r="I170" s="79"/>
      <c r="J170" s="74"/>
      <c r="K170" s="80"/>
      <c r="L170" s="64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5.65" x14ac:dyDescent="0.3">
      <c r="A171" s="70"/>
      <c r="B171" s="71"/>
      <c r="C171" s="72"/>
      <c r="D171" s="72"/>
      <c r="E171" s="72"/>
      <c r="F171" s="72"/>
      <c r="G171" s="72"/>
      <c r="H171" s="72"/>
      <c r="I171" s="79"/>
      <c r="J171" s="74"/>
      <c r="K171" s="80"/>
      <c r="L171" s="64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5.65" x14ac:dyDescent="0.3">
      <c r="A172" s="70"/>
      <c r="B172" s="71"/>
      <c r="C172" s="72"/>
      <c r="D172" s="72"/>
      <c r="E172" s="72"/>
      <c r="F172" s="72"/>
      <c r="G172" s="72"/>
      <c r="H172" s="72"/>
      <c r="I172" s="79"/>
      <c r="J172" s="74"/>
      <c r="K172" s="80"/>
      <c r="L172" s="64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5.65" x14ac:dyDescent="0.3">
      <c r="A173" s="70"/>
      <c r="B173" s="71"/>
      <c r="C173" s="72"/>
      <c r="D173" s="72"/>
      <c r="E173" s="72"/>
      <c r="F173" s="72"/>
      <c r="G173" s="72"/>
      <c r="H173" s="72"/>
      <c r="I173" s="79"/>
      <c r="J173" s="74"/>
      <c r="K173" s="80"/>
      <c r="L173" s="64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5.65" x14ac:dyDescent="0.3">
      <c r="A174" s="70"/>
      <c r="B174" s="71"/>
      <c r="C174" s="72"/>
      <c r="D174" s="72"/>
      <c r="E174" s="72"/>
      <c r="F174" s="72"/>
      <c r="G174" s="72"/>
      <c r="H174" s="72"/>
      <c r="I174" s="79"/>
      <c r="J174" s="74"/>
      <c r="K174" s="80"/>
      <c r="L174" s="64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5.65" x14ac:dyDescent="0.3">
      <c r="A175" s="70"/>
      <c r="B175" s="71"/>
      <c r="C175" s="72"/>
      <c r="D175" s="72"/>
      <c r="E175" s="72"/>
      <c r="F175" s="72"/>
      <c r="G175" s="72"/>
      <c r="H175" s="72"/>
      <c r="I175" s="79"/>
      <c r="J175" s="74"/>
      <c r="K175" s="80"/>
      <c r="L175" s="64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5.65" x14ac:dyDescent="0.3">
      <c r="A176" s="70"/>
      <c r="B176" s="71"/>
      <c r="C176" s="72"/>
      <c r="D176" s="72"/>
      <c r="E176" s="72"/>
      <c r="F176" s="72"/>
      <c r="G176" s="72"/>
      <c r="H176" s="72"/>
      <c r="I176" s="79"/>
      <c r="J176" s="74"/>
      <c r="K176" s="80"/>
      <c r="L176" s="64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5.65" x14ac:dyDescent="0.3">
      <c r="A177" s="70"/>
      <c r="B177" s="71"/>
      <c r="C177" s="72"/>
      <c r="D177" s="72"/>
      <c r="E177" s="72"/>
      <c r="F177" s="72"/>
      <c r="G177" s="72"/>
      <c r="H177" s="72"/>
      <c r="I177" s="79"/>
      <c r="J177" s="74"/>
      <c r="K177" s="80"/>
      <c r="L177" s="64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5.65" x14ac:dyDescent="0.3">
      <c r="A178" s="70"/>
      <c r="B178" s="71"/>
      <c r="C178" s="72"/>
      <c r="D178" s="72"/>
      <c r="E178" s="72"/>
      <c r="F178" s="72"/>
      <c r="G178" s="72"/>
      <c r="H178" s="72"/>
      <c r="I178" s="79"/>
      <c r="J178" s="74"/>
      <c r="K178" s="80"/>
      <c r="L178" s="64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5.65" x14ac:dyDescent="0.3">
      <c r="A179" s="70"/>
      <c r="B179" s="71"/>
      <c r="C179" s="72"/>
      <c r="D179" s="72"/>
      <c r="E179" s="72"/>
      <c r="F179" s="72"/>
      <c r="G179" s="72"/>
      <c r="H179" s="72"/>
      <c r="I179" s="79"/>
      <c r="J179" s="74"/>
      <c r="K179" s="80"/>
      <c r="L179" s="64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5.65" x14ac:dyDescent="0.3">
      <c r="A180" s="70"/>
      <c r="B180" s="71"/>
      <c r="C180" s="72"/>
      <c r="D180" s="72"/>
      <c r="E180" s="72"/>
      <c r="F180" s="72"/>
      <c r="G180" s="72"/>
      <c r="H180" s="72"/>
      <c r="I180" s="79"/>
      <c r="J180" s="74"/>
      <c r="K180" s="80"/>
      <c r="L180" s="64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5.65" x14ac:dyDescent="0.3">
      <c r="A181" s="70"/>
      <c r="B181" s="71"/>
      <c r="C181" s="72"/>
      <c r="D181" s="72"/>
      <c r="E181" s="72"/>
      <c r="F181" s="72"/>
      <c r="G181" s="72"/>
      <c r="H181" s="72"/>
      <c r="I181" s="79"/>
      <c r="J181" s="74"/>
      <c r="K181" s="80"/>
      <c r="L181" s="64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5.65" x14ac:dyDescent="0.3">
      <c r="A182" s="70"/>
      <c r="B182" s="71"/>
      <c r="C182" s="72"/>
      <c r="D182" s="72"/>
      <c r="E182" s="72"/>
      <c r="F182" s="72"/>
      <c r="G182" s="72"/>
      <c r="H182" s="72"/>
      <c r="I182" s="79"/>
      <c r="J182" s="74"/>
      <c r="K182" s="80"/>
      <c r="L182" s="64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5.65" x14ac:dyDescent="0.3">
      <c r="A183" s="70"/>
      <c r="B183" s="71"/>
      <c r="C183" s="72"/>
      <c r="D183" s="72"/>
      <c r="E183" s="72"/>
      <c r="F183" s="72"/>
      <c r="G183" s="72"/>
      <c r="H183" s="72"/>
      <c r="I183" s="79"/>
      <c r="J183" s="74"/>
      <c r="K183" s="80"/>
      <c r="L183" s="64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5.65" x14ac:dyDescent="0.3">
      <c r="A184" s="70"/>
      <c r="B184" s="71"/>
      <c r="C184" s="72"/>
      <c r="D184" s="72"/>
      <c r="E184" s="72"/>
      <c r="F184" s="72"/>
      <c r="G184" s="72"/>
      <c r="H184" s="72"/>
      <c r="I184" s="79"/>
      <c r="J184" s="74"/>
      <c r="K184" s="80"/>
      <c r="L184" s="64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5.65" x14ac:dyDescent="0.3">
      <c r="A185" s="70"/>
      <c r="B185" s="71"/>
      <c r="C185" s="72"/>
      <c r="D185" s="72"/>
      <c r="E185" s="72"/>
      <c r="F185" s="72"/>
      <c r="G185" s="72"/>
      <c r="H185" s="72"/>
      <c r="I185" s="79"/>
      <c r="J185" s="74"/>
      <c r="K185" s="80"/>
      <c r="L185" s="64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5.65" x14ac:dyDescent="0.3">
      <c r="A186" s="70"/>
      <c r="B186" s="71"/>
      <c r="C186" s="72"/>
      <c r="D186" s="72"/>
      <c r="E186" s="72"/>
      <c r="F186" s="72"/>
      <c r="G186" s="72"/>
      <c r="H186" s="72"/>
      <c r="I186" s="79"/>
      <c r="J186" s="74"/>
      <c r="K186" s="80"/>
      <c r="L186" s="64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5.65" x14ac:dyDescent="0.3">
      <c r="A187" s="70"/>
      <c r="B187" s="71"/>
      <c r="C187" s="72"/>
      <c r="D187" s="72"/>
      <c r="E187" s="72"/>
      <c r="F187" s="72"/>
      <c r="G187" s="72"/>
      <c r="H187" s="72"/>
      <c r="I187" s="79"/>
      <c r="J187" s="74"/>
      <c r="K187" s="80"/>
      <c r="L187" s="64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5.65" x14ac:dyDescent="0.3">
      <c r="A188" s="70"/>
      <c r="B188" s="71"/>
      <c r="C188" s="72"/>
      <c r="D188" s="72"/>
      <c r="E188" s="72"/>
      <c r="F188" s="72"/>
      <c r="G188" s="72"/>
      <c r="H188" s="72"/>
      <c r="I188" s="79"/>
      <c r="J188" s="74"/>
      <c r="K188" s="80"/>
      <c r="L188" s="64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5.65" x14ac:dyDescent="0.3">
      <c r="A189" s="70"/>
      <c r="B189" s="71"/>
      <c r="C189" s="72"/>
      <c r="D189" s="72"/>
      <c r="E189" s="72"/>
      <c r="F189" s="72"/>
      <c r="G189" s="72"/>
      <c r="H189" s="72"/>
      <c r="I189" s="79"/>
      <c r="J189" s="74"/>
      <c r="K189" s="80"/>
      <c r="L189" s="64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5.65" x14ac:dyDescent="0.3">
      <c r="A190" s="70"/>
      <c r="B190" s="71"/>
      <c r="C190" s="72"/>
      <c r="D190" s="72"/>
      <c r="E190" s="72"/>
      <c r="F190" s="72"/>
      <c r="G190" s="72"/>
      <c r="H190" s="72"/>
      <c r="I190" s="79"/>
      <c r="J190" s="74"/>
      <c r="K190" s="80"/>
      <c r="L190" s="64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spans="1:27" ht="15.65" x14ac:dyDescent="0.3">
      <c r="A191" s="70"/>
      <c r="B191" s="71"/>
      <c r="C191" s="72"/>
      <c r="D191" s="72"/>
      <c r="E191" s="72"/>
      <c r="F191" s="72"/>
      <c r="G191" s="72"/>
      <c r="H191" s="72"/>
      <c r="I191" s="79"/>
      <c r="J191" s="74"/>
      <c r="K191" s="80"/>
      <c r="L191" s="64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spans="1:27" ht="15.65" x14ac:dyDescent="0.3">
      <c r="A192" s="70"/>
      <c r="B192" s="71"/>
      <c r="C192" s="72"/>
      <c r="D192" s="72"/>
      <c r="E192" s="72"/>
      <c r="F192" s="72"/>
      <c r="G192" s="72"/>
      <c r="H192" s="72"/>
      <c r="I192" s="79"/>
      <c r="J192" s="74"/>
      <c r="K192" s="80"/>
      <c r="L192" s="64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spans="1:27" ht="15.65" x14ac:dyDescent="0.3">
      <c r="A193" s="70"/>
      <c r="B193" s="71"/>
      <c r="C193" s="72"/>
      <c r="D193" s="72"/>
      <c r="E193" s="72"/>
      <c r="F193" s="72"/>
      <c r="G193" s="72"/>
      <c r="H193" s="72"/>
      <c r="I193" s="79"/>
      <c r="J193" s="74"/>
      <c r="K193" s="80"/>
      <c r="L193" s="64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spans="1:27" ht="15.65" x14ac:dyDescent="0.3">
      <c r="A194" s="70"/>
      <c r="B194" s="71"/>
      <c r="C194" s="72"/>
      <c r="D194" s="72"/>
      <c r="E194" s="72"/>
      <c r="F194" s="72"/>
      <c r="G194" s="72"/>
      <c r="H194" s="72"/>
      <c r="I194" s="79"/>
      <c r="J194" s="74"/>
      <c r="K194" s="80"/>
      <c r="L194" s="64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spans="1:27" ht="15.65" x14ac:dyDescent="0.3">
      <c r="A195" s="70"/>
      <c r="B195" s="71"/>
      <c r="C195" s="72"/>
      <c r="D195" s="72"/>
      <c r="E195" s="72"/>
      <c r="F195" s="72"/>
      <c r="G195" s="72"/>
      <c r="H195" s="72"/>
      <c r="I195" s="79"/>
      <c r="J195" s="74"/>
      <c r="K195" s="80"/>
      <c r="L195" s="64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spans="1:27" ht="15.65" x14ac:dyDescent="0.3">
      <c r="A196" s="70"/>
      <c r="B196" s="71"/>
      <c r="C196" s="72"/>
      <c r="D196" s="72"/>
      <c r="E196" s="72"/>
      <c r="F196" s="72"/>
      <c r="G196" s="72"/>
      <c r="H196" s="72"/>
      <c r="I196" s="79"/>
      <c r="J196" s="74"/>
      <c r="K196" s="80"/>
      <c r="L196" s="64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spans="1:27" ht="15.65" x14ac:dyDescent="0.3">
      <c r="A197" s="70"/>
      <c r="B197" s="71"/>
      <c r="C197" s="72"/>
      <c r="D197" s="72"/>
      <c r="E197" s="72"/>
      <c r="F197" s="72"/>
      <c r="G197" s="72"/>
      <c r="H197" s="72"/>
      <c r="I197" s="79"/>
      <c r="J197" s="74"/>
      <c r="K197" s="80"/>
      <c r="L197" s="64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spans="1:27" ht="15.65" x14ac:dyDescent="0.3">
      <c r="A198" s="70"/>
      <c r="B198" s="71"/>
      <c r="C198" s="72"/>
      <c r="D198" s="72"/>
      <c r="E198" s="72"/>
      <c r="F198" s="72"/>
      <c r="G198" s="72"/>
      <c r="H198" s="72"/>
      <c r="I198" s="79"/>
      <c r="J198" s="74"/>
      <c r="K198" s="80"/>
      <c r="L198" s="64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spans="1:27" ht="15.65" x14ac:dyDescent="0.3">
      <c r="A199" s="70"/>
      <c r="B199" s="71"/>
      <c r="C199" s="72"/>
      <c r="D199" s="72"/>
      <c r="E199" s="72"/>
      <c r="F199" s="72"/>
      <c r="G199" s="72"/>
      <c r="H199" s="72"/>
      <c r="I199" s="79"/>
      <c r="J199" s="74"/>
      <c r="K199" s="80"/>
      <c r="L199" s="64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spans="1:27" ht="15.65" x14ac:dyDescent="0.3">
      <c r="A200" s="70"/>
      <c r="B200" s="71"/>
      <c r="C200" s="72"/>
      <c r="D200" s="72"/>
      <c r="E200" s="72"/>
      <c r="F200" s="72"/>
      <c r="G200" s="72"/>
      <c r="H200" s="72"/>
      <c r="I200" s="79"/>
      <c r="J200" s="74"/>
      <c r="K200" s="80"/>
      <c r="L200" s="64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spans="1:27" ht="15.65" x14ac:dyDescent="0.3">
      <c r="A201" s="70"/>
      <c r="B201" s="71"/>
      <c r="C201" s="72"/>
      <c r="D201" s="72"/>
      <c r="E201" s="72"/>
      <c r="F201" s="72"/>
      <c r="G201" s="72"/>
      <c r="H201" s="72"/>
      <c r="I201" s="79"/>
      <c r="J201" s="74"/>
      <c r="K201" s="80"/>
      <c r="L201" s="64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spans="1:27" ht="15.65" x14ac:dyDescent="0.3">
      <c r="A202" s="70"/>
      <c r="B202" s="71"/>
      <c r="C202" s="72"/>
      <c r="D202" s="72"/>
      <c r="E202" s="72"/>
      <c r="F202" s="72"/>
      <c r="G202" s="72"/>
      <c r="H202" s="72"/>
      <c r="I202" s="79"/>
      <c r="J202" s="74"/>
      <c r="K202" s="80"/>
      <c r="L202" s="64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spans="1:27" ht="15.65" x14ac:dyDescent="0.3">
      <c r="A203" s="70"/>
      <c r="B203" s="71"/>
      <c r="C203" s="72"/>
      <c r="D203" s="72"/>
      <c r="E203" s="72"/>
      <c r="F203" s="72"/>
      <c r="G203" s="72"/>
      <c r="H203" s="72"/>
      <c r="I203" s="79"/>
      <c r="J203" s="74"/>
      <c r="K203" s="80"/>
      <c r="L203" s="64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spans="1:27" ht="15.65" x14ac:dyDescent="0.3">
      <c r="A204" s="70"/>
      <c r="B204" s="71"/>
      <c r="C204" s="72"/>
      <c r="D204" s="72"/>
      <c r="E204" s="72"/>
      <c r="F204" s="72"/>
      <c r="G204" s="72"/>
      <c r="H204" s="72"/>
      <c r="I204" s="79"/>
      <c r="J204" s="74"/>
      <c r="K204" s="80"/>
      <c r="L204" s="64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spans="1:27" ht="15.65" x14ac:dyDescent="0.3">
      <c r="A205" s="70"/>
      <c r="B205" s="71"/>
      <c r="C205" s="72"/>
      <c r="D205" s="72"/>
      <c r="E205" s="72"/>
      <c r="F205" s="72"/>
      <c r="G205" s="72"/>
      <c r="H205" s="72"/>
      <c r="I205" s="79"/>
      <c r="J205" s="74"/>
      <c r="K205" s="80"/>
      <c r="L205" s="64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spans="1:27" ht="15.65" x14ac:dyDescent="0.3">
      <c r="A206" s="70"/>
      <c r="B206" s="71"/>
      <c r="C206" s="72"/>
      <c r="D206" s="72"/>
      <c r="E206" s="72"/>
      <c r="F206" s="72"/>
      <c r="G206" s="72"/>
      <c r="H206" s="72"/>
      <c r="I206" s="79"/>
      <c r="J206" s="74"/>
      <c r="K206" s="80"/>
      <c r="L206" s="64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spans="1:27" ht="15.65" x14ac:dyDescent="0.3">
      <c r="A207" s="70"/>
      <c r="B207" s="71"/>
      <c r="C207" s="72"/>
      <c r="D207" s="72"/>
      <c r="E207" s="72"/>
      <c r="F207" s="72"/>
      <c r="G207" s="72"/>
      <c r="H207" s="72"/>
      <c r="I207" s="79"/>
      <c r="J207" s="74"/>
      <c r="K207" s="80"/>
      <c r="L207" s="64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spans="1:27" ht="15.65" x14ac:dyDescent="0.3">
      <c r="A208" s="70"/>
      <c r="B208" s="71"/>
      <c r="C208" s="72"/>
      <c r="D208" s="72"/>
      <c r="E208" s="72"/>
      <c r="F208" s="72"/>
      <c r="G208" s="72"/>
      <c r="H208" s="72"/>
      <c r="I208" s="79"/>
      <c r="J208" s="74"/>
      <c r="K208" s="80"/>
      <c r="L208" s="64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spans="1:27" ht="15.65" x14ac:dyDescent="0.3">
      <c r="A209" s="70"/>
      <c r="B209" s="71"/>
      <c r="C209" s="72"/>
      <c r="D209" s="72"/>
      <c r="E209" s="72"/>
      <c r="F209" s="72"/>
      <c r="G209" s="72"/>
      <c r="H209" s="72"/>
      <c r="I209" s="79"/>
      <c r="J209" s="74"/>
      <c r="K209" s="80"/>
      <c r="L209" s="64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spans="1:27" ht="15.65" x14ac:dyDescent="0.3">
      <c r="A210" s="70"/>
      <c r="B210" s="71"/>
      <c r="C210" s="72"/>
      <c r="D210" s="72"/>
      <c r="E210" s="72"/>
      <c r="F210" s="72"/>
      <c r="G210" s="72"/>
      <c r="H210" s="72"/>
      <c r="I210" s="79"/>
      <c r="J210" s="74"/>
      <c r="K210" s="80"/>
      <c r="L210" s="64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spans="1:27" ht="15.65" x14ac:dyDescent="0.3">
      <c r="A211" s="70"/>
      <c r="B211" s="71"/>
      <c r="C211" s="72"/>
      <c r="D211" s="72"/>
      <c r="E211" s="72"/>
      <c r="F211" s="72"/>
      <c r="G211" s="72"/>
      <c r="H211" s="72"/>
      <c r="I211" s="79"/>
      <c r="J211" s="74"/>
      <c r="K211" s="80"/>
      <c r="L211" s="64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spans="1:27" ht="15.65" x14ac:dyDescent="0.3">
      <c r="A212" s="70"/>
      <c r="B212" s="71"/>
      <c r="C212" s="72"/>
      <c r="D212" s="72"/>
      <c r="E212" s="72"/>
      <c r="F212" s="72"/>
      <c r="G212" s="72"/>
      <c r="H212" s="72"/>
      <c r="I212" s="79"/>
      <c r="J212" s="74"/>
      <c r="K212" s="80"/>
      <c r="L212" s="64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spans="1:27" ht="15.65" x14ac:dyDescent="0.3">
      <c r="A213" s="70"/>
      <c r="B213" s="71"/>
      <c r="C213" s="72"/>
      <c r="D213" s="72"/>
      <c r="E213" s="72"/>
      <c r="F213" s="72"/>
      <c r="G213" s="72"/>
      <c r="H213" s="72"/>
      <c r="I213" s="79"/>
      <c r="J213" s="74"/>
      <c r="K213" s="80"/>
      <c r="L213" s="64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spans="1:27" ht="15.65" x14ac:dyDescent="0.3">
      <c r="A214" s="70"/>
      <c r="B214" s="71"/>
      <c r="C214" s="72"/>
      <c r="D214" s="72"/>
      <c r="E214" s="72"/>
      <c r="F214" s="72"/>
      <c r="G214" s="72"/>
      <c r="H214" s="72"/>
      <c r="I214" s="79"/>
      <c r="J214" s="74"/>
      <c r="K214" s="80"/>
      <c r="L214" s="64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spans="1:27" ht="15.65" x14ac:dyDescent="0.3">
      <c r="A215" s="70"/>
      <c r="B215" s="71"/>
      <c r="C215" s="72"/>
      <c r="D215" s="72"/>
      <c r="E215" s="72"/>
      <c r="F215" s="72"/>
      <c r="G215" s="72"/>
      <c r="H215" s="72"/>
      <c r="I215" s="79"/>
      <c r="J215" s="74"/>
      <c r="K215" s="80"/>
      <c r="L215" s="64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spans="1:27" ht="15.65" x14ac:dyDescent="0.3">
      <c r="A216" s="70"/>
      <c r="B216" s="71"/>
      <c r="C216" s="72"/>
      <c r="D216" s="72"/>
      <c r="E216" s="72"/>
      <c r="F216" s="72"/>
      <c r="G216" s="72"/>
      <c r="H216" s="72"/>
      <c r="I216" s="79"/>
      <c r="J216" s="74"/>
      <c r="K216" s="80"/>
      <c r="L216" s="64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spans="1:27" ht="15.65" x14ac:dyDescent="0.3">
      <c r="A217" s="70"/>
      <c r="B217" s="71"/>
      <c r="C217" s="72"/>
      <c r="D217" s="72"/>
      <c r="E217" s="72"/>
      <c r="F217" s="72"/>
      <c r="G217" s="72"/>
      <c r="H217" s="72"/>
      <c r="I217" s="79"/>
      <c r="J217" s="74"/>
      <c r="K217" s="80"/>
      <c r="L217" s="64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spans="1:27" ht="15.65" x14ac:dyDescent="0.3">
      <c r="A218" s="70"/>
      <c r="B218" s="71"/>
      <c r="C218" s="72"/>
      <c r="D218" s="72"/>
      <c r="E218" s="72"/>
      <c r="F218" s="72"/>
      <c r="G218" s="72"/>
      <c r="H218" s="72"/>
      <c r="I218" s="79"/>
      <c r="J218" s="74"/>
      <c r="K218" s="80"/>
      <c r="L218" s="64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spans="1:27" ht="15.65" x14ac:dyDescent="0.3">
      <c r="A219" s="70"/>
      <c r="B219" s="71"/>
      <c r="C219" s="72"/>
      <c r="D219" s="72"/>
      <c r="E219" s="72"/>
      <c r="F219" s="72"/>
      <c r="G219" s="72"/>
      <c r="H219" s="72"/>
      <c r="I219" s="79"/>
      <c r="J219" s="74"/>
      <c r="K219" s="80"/>
      <c r="L219" s="64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spans="1:27" ht="15.65" x14ac:dyDescent="0.3">
      <c r="A220" s="70"/>
      <c r="B220" s="71"/>
      <c r="C220" s="72"/>
      <c r="D220" s="72"/>
      <c r="E220" s="72"/>
      <c r="F220" s="72"/>
      <c r="G220" s="72"/>
      <c r="H220" s="72"/>
      <c r="I220" s="79"/>
      <c r="J220" s="74"/>
      <c r="K220" s="80"/>
      <c r="L220" s="64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spans="1:27" ht="15.65" x14ac:dyDescent="0.3">
      <c r="A221" s="70"/>
      <c r="B221" s="71"/>
      <c r="C221" s="72"/>
      <c r="D221" s="72"/>
      <c r="E221" s="72"/>
      <c r="F221" s="72"/>
      <c r="G221" s="72"/>
      <c r="H221" s="72"/>
      <c r="I221" s="79"/>
      <c r="J221" s="74"/>
      <c r="K221" s="80"/>
      <c r="L221" s="64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spans="1:27" ht="15.65" x14ac:dyDescent="0.3">
      <c r="A222" s="70"/>
      <c r="B222" s="71"/>
      <c r="C222" s="72"/>
      <c r="D222" s="72"/>
      <c r="E222" s="72"/>
      <c r="F222" s="72"/>
      <c r="G222" s="72"/>
      <c r="H222" s="72"/>
      <c r="I222" s="79"/>
      <c r="J222" s="74"/>
      <c r="K222" s="80"/>
      <c r="L222" s="64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spans="1:27" ht="15.65" x14ac:dyDescent="0.3">
      <c r="A223" s="70"/>
      <c r="B223" s="71"/>
      <c r="C223" s="72"/>
      <c r="D223" s="72"/>
      <c r="E223" s="72"/>
      <c r="F223" s="72"/>
      <c r="G223" s="72"/>
      <c r="H223" s="72"/>
      <c r="I223" s="79"/>
      <c r="J223" s="74"/>
      <c r="K223" s="80"/>
      <c r="L223" s="64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spans="1:27" ht="15.65" x14ac:dyDescent="0.3">
      <c r="A224" s="70"/>
      <c r="B224" s="71"/>
      <c r="C224" s="72"/>
      <c r="D224" s="72"/>
      <c r="E224" s="72"/>
      <c r="F224" s="72"/>
      <c r="G224" s="72"/>
      <c r="H224" s="72"/>
      <c r="I224" s="79"/>
      <c r="J224" s="74"/>
      <c r="K224" s="80"/>
      <c r="L224" s="64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spans="1:27" ht="15.65" x14ac:dyDescent="0.3">
      <c r="A225" s="70"/>
      <c r="B225" s="71"/>
      <c r="C225" s="72"/>
      <c r="D225" s="72"/>
      <c r="E225" s="72"/>
      <c r="F225" s="72"/>
      <c r="G225" s="72"/>
      <c r="H225" s="72"/>
      <c r="I225" s="79"/>
      <c r="J225" s="74"/>
      <c r="K225" s="80"/>
      <c r="L225" s="64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spans="1:27" ht="15.65" x14ac:dyDescent="0.3">
      <c r="A226" s="70"/>
      <c r="B226" s="71"/>
      <c r="C226" s="72"/>
      <c r="D226" s="72"/>
      <c r="E226" s="72"/>
      <c r="F226" s="72"/>
      <c r="G226" s="72"/>
      <c r="H226" s="72"/>
      <c r="I226" s="79"/>
      <c r="J226" s="74"/>
      <c r="K226" s="80"/>
      <c r="L226" s="64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spans="1:27" ht="15.65" x14ac:dyDescent="0.3">
      <c r="A227" s="70"/>
      <c r="B227" s="71"/>
      <c r="C227" s="72"/>
      <c r="D227" s="72"/>
      <c r="E227" s="72"/>
      <c r="F227" s="72"/>
      <c r="G227" s="72"/>
      <c r="H227" s="72"/>
      <c r="I227" s="79"/>
      <c r="J227" s="74"/>
      <c r="K227" s="80"/>
      <c r="L227" s="64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spans="1:27" ht="15.65" x14ac:dyDescent="0.3">
      <c r="A228" s="70"/>
      <c r="B228" s="71"/>
      <c r="C228" s="72"/>
      <c r="D228" s="72"/>
      <c r="E228" s="72"/>
      <c r="F228" s="72"/>
      <c r="G228" s="72"/>
      <c r="H228" s="72"/>
      <c r="I228" s="79"/>
      <c r="J228" s="74"/>
      <c r="K228" s="80"/>
      <c r="L228" s="64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spans="1:27" ht="15.65" x14ac:dyDescent="0.3">
      <c r="A229" s="70"/>
      <c r="B229" s="71"/>
      <c r="C229" s="72"/>
      <c r="D229" s="72"/>
      <c r="E229" s="72"/>
      <c r="F229" s="72"/>
      <c r="G229" s="72"/>
      <c r="H229" s="72"/>
      <c r="I229" s="79"/>
      <c r="J229" s="74"/>
      <c r="K229" s="80"/>
      <c r="L229" s="64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spans="1:27" ht="15.65" x14ac:dyDescent="0.3">
      <c r="A230" s="70"/>
      <c r="B230" s="71"/>
      <c r="C230" s="72"/>
      <c r="D230" s="72"/>
      <c r="E230" s="72"/>
      <c r="F230" s="72"/>
      <c r="G230" s="72"/>
      <c r="H230" s="72"/>
      <c r="I230" s="79"/>
      <c r="J230" s="74"/>
      <c r="K230" s="80"/>
      <c r="L230" s="64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spans="1:27" ht="15.65" x14ac:dyDescent="0.3">
      <c r="A231" s="70"/>
      <c r="B231" s="71"/>
      <c r="C231" s="72"/>
      <c r="D231" s="72"/>
      <c r="E231" s="72"/>
      <c r="F231" s="72"/>
      <c r="G231" s="72"/>
      <c r="H231" s="72"/>
      <c r="I231" s="79"/>
      <c r="J231" s="74"/>
      <c r="K231" s="80"/>
      <c r="L231" s="64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spans="1:27" ht="15.65" x14ac:dyDescent="0.3">
      <c r="A232" s="70"/>
      <c r="B232" s="71"/>
      <c r="C232" s="72"/>
      <c r="D232" s="72"/>
      <c r="E232" s="72"/>
      <c r="F232" s="72"/>
      <c r="G232" s="72"/>
      <c r="H232" s="72"/>
      <c r="I232" s="79"/>
      <c r="J232" s="74"/>
      <c r="K232" s="80"/>
      <c r="L232" s="64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spans="1:27" ht="15.65" x14ac:dyDescent="0.3">
      <c r="A233" s="70"/>
      <c r="B233" s="71"/>
      <c r="C233" s="72"/>
      <c r="D233" s="72"/>
      <c r="E233" s="72"/>
      <c r="F233" s="72"/>
      <c r="G233" s="72"/>
      <c r="H233" s="72"/>
      <c r="I233" s="79"/>
      <c r="J233" s="74"/>
      <c r="K233" s="80"/>
      <c r="L233" s="64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spans="1:27" ht="15.65" x14ac:dyDescent="0.3">
      <c r="A234" s="70"/>
      <c r="B234" s="71"/>
      <c r="C234" s="72"/>
      <c r="D234" s="72"/>
      <c r="E234" s="72"/>
      <c r="F234" s="72"/>
      <c r="G234" s="72"/>
      <c r="H234" s="72"/>
      <c r="I234" s="79"/>
      <c r="J234" s="74"/>
      <c r="K234" s="80"/>
      <c r="L234" s="64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spans="1:27" ht="15.65" x14ac:dyDescent="0.3">
      <c r="A235" s="70"/>
      <c r="B235" s="71"/>
      <c r="C235" s="72"/>
      <c r="D235" s="72"/>
      <c r="E235" s="72"/>
      <c r="F235" s="72"/>
      <c r="G235" s="72"/>
      <c r="H235" s="72"/>
      <c r="I235" s="79"/>
      <c r="J235" s="74"/>
      <c r="K235" s="80"/>
      <c r="L235" s="64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spans="1:27" ht="15.65" x14ac:dyDescent="0.3">
      <c r="A236" s="70"/>
      <c r="B236" s="71"/>
      <c r="C236" s="72"/>
      <c r="D236" s="72"/>
      <c r="E236" s="72"/>
      <c r="F236" s="72"/>
      <c r="G236" s="72"/>
      <c r="H236" s="72"/>
      <c r="I236" s="79"/>
      <c r="J236" s="74"/>
      <c r="K236" s="80"/>
      <c r="L236" s="64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spans="1:27" ht="15.65" x14ac:dyDescent="0.3">
      <c r="A237" s="70"/>
      <c r="B237" s="71"/>
      <c r="C237" s="72"/>
      <c r="D237" s="72"/>
      <c r="E237" s="72"/>
      <c r="F237" s="72"/>
      <c r="G237" s="72"/>
      <c r="H237" s="72"/>
      <c r="I237" s="79"/>
      <c r="J237" s="74"/>
      <c r="K237" s="80"/>
      <c r="L237" s="64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spans="1:27" ht="15.65" x14ac:dyDescent="0.3">
      <c r="A238" s="70"/>
      <c r="B238" s="71"/>
      <c r="C238" s="72"/>
      <c r="D238" s="72"/>
      <c r="E238" s="72"/>
      <c r="F238" s="72"/>
      <c r="G238" s="72"/>
      <c r="H238" s="72"/>
      <c r="I238" s="79"/>
      <c r="J238" s="74"/>
      <c r="K238" s="80"/>
      <c r="L238" s="64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spans="1:27" ht="15.65" x14ac:dyDescent="0.3">
      <c r="A239" s="70"/>
      <c r="B239" s="71"/>
      <c r="C239" s="72"/>
      <c r="D239" s="72"/>
      <c r="E239" s="72"/>
      <c r="F239" s="72"/>
      <c r="G239" s="72"/>
      <c r="H239" s="72"/>
      <c r="I239" s="79"/>
      <c r="J239" s="74"/>
      <c r="K239" s="80"/>
      <c r="L239" s="64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spans="1:27" ht="15.65" x14ac:dyDescent="0.3">
      <c r="A240" s="70"/>
      <c r="B240" s="71"/>
      <c r="C240" s="72"/>
      <c r="D240" s="72"/>
      <c r="E240" s="72"/>
      <c r="F240" s="72"/>
      <c r="G240" s="72"/>
      <c r="H240" s="72"/>
      <c r="I240" s="79"/>
      <c r="J240" s="74"/>
      <c r="K240" s="80"/>
      <c r="L240" s="64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spans="1:27" ht="15.65" x14ac:dyDescent="0.3">
      <c r="A241" s="70"/>
      <c r="B241" s="71"/>
      <c r="C241" s="72"/>
      <c r="D241" s="72"/>
      <c r="E241" s="72"/>
      <c r="F241" s="72"/>
      <c r="G241" s="72"/>
      <c r="H241" s="72"/>
      <c r="I241" s="79"/>
      <c r="J241" s="74"/>
      <c r="K241" s="80"/>
      <c r="L241" s="64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spans="1:27" ht="15.65" x14ac:dyDescent="0.3">
      <c r="A242" s="70"/>
      <c r="B242" s="71"/>
      <c r="C242" s="72"/>
      <c r="D242" s="72"/>
      <c r="E242" s="72"/>
      <c r="F242" s="72"/>
      <c r="G242" s="72"/>
      <c r="H242" s="72"/>
      <c r="I242" s="79"/>
      <c r="J242" s="74"/>
      <c r="K242" s="80"/>
      <c r="L242" s="64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spans="1:27" ht="15.65" x14ac:dyDescent="0.3">
      <c r="A243" s="70"/>
      <c r="B243" s="71"/>
      <c r="C243" s="72"/>
      <c r="D243" s="72"/>
      <c r="E243" s="72"/>
      <c r="F243" s="72"/>
      <c r="G243" s="72"/>
      <c r="H243" s="72"/>
      <c r="I243" s="79"/>
      <c r="J243" s="74"/>
      <c r="K243" s="80"/>
      <c r="L243" s="64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spans="1:27" ht="15.65" x14ac:dyDescent="0.3">
      <c r="A244" s="70"/>
      <c r="B244" s="71"/>
      <c r="C244" s="72"/>
      <c r="D244" s="72"/>
      <c r="E244" s="72"/>
      <c r="F244" s="72"/>
      <c r="G244" s="72"/>
      <c r="H244" s="72"/>
      <c r="I244" s="79"/>
      <c r="J244" s="74"/>
      <c r="K244" s="80"/>
      <c r="L244" s="64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spans="1:27" ht="15.65" x14ac:dyDescent="0.3">
      <c r="A245" s="70"/>
      <c r="B245" s="71"/>
      <c r="C245" s="72"/>
      <c r="D245" s="72"/>
      <c r="E245" s="72"/>
      <c r="F245" s="72"/>
      <c r="G245" s="72"/>
      <c r="H245" s="72"/>
      <c r="I245" s="79"/>
      <c r="J245" s="74"/>
      <c r="K245" s="80"/>
      <c r="L245" s="64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spans="1:27" ht="15.65" x14ac:dyDescent="0.3">
      <c r="A246" s="70"/>
      <c r="B246" s="71"/>
      <c r="C246" s="72"/>
      <c r="D246" s="72"/>
      <c r="E246" s="72"/>
      <c r="F246" s="72"/>
      <c r="G246" s="72"/>
      <c r="H246" s="72"/>
      <c r="I246" s="79"/>
      <c r="J246" s="74"/>
      <c r="K246" s="80"/>
      <c r="L246" s="64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spans="1:27" ht="15.65" x14ac:dyDescent="0.3">
      <c r="A247" s="70"/>
      <c r="B247" s="71"/>
      <c r="C247" s="72"/>
      <c r="D247" s="72"/>
      <c r="E247" s="72"/>
      <c r="F247" s="72"/>
      <c r="G247" s="72"/>
      <c r="H247" s="72"/>
      <c r="I247" s="79"/>
      <c r="J247" s="74"/>
      <c r="K247" s="80"/>
      <c r="L247" s="64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spans="1:27" ht="15.65" x14ac:dyDescent="0.3">
      <c r="A248" s="70"/>
      <c r="B248" s="71"/>
      <c r="C248" s="72"/>
      <c r="D248" s="72"/>
      <c r="E248" s="72"/>
      <c r="F248" s="72"/>
      <c r="G248" s="72"/>
      <c r="H248" s="72"/>
      <c r="I248" s="79"/>
      <c r="J248" s="74"/>
      <c r="K248" s="80"/>
      <c r="L248" s="64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spans="1:27" ht="15.65" x14ac:dyDescent="0.3">
      <c r="A249" s="70"/>
      <c r="B249" s="71"/>
      <c r="C249" s="72"/>
      <c r="D249" s="72"/>
      <c r="E249" s="72"/>
      <c r="F249" s="72"/>
      <c r="G249" s="72"/>
      <c r="H249" s="72"/>
      <c r="I249" s="79"/>
      <c r="J249" s="74"/>
      <c r="K249" s="80"/>
      <c r="L249" s="64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spans="1:27" ht="15.65" x14ac:dyDescent="0.3">
      <c r="A250" s="70"/>
      <c r="B250" s="71"/>
      <c r="C250" s="72"/>
      <c r="D250" s="72"/>
      <c r="E250" s="72"/>
      <c r="F250" s="72"/>
      <c r="G250" s="72"/>
      <c r="H250" s="72"/>
      <c r="I250" s="79"/>
      <c r="J250" s="74"/>
      <c r="K250" s="80"/>
      <c r="L250" s="64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spans="1:27" ht="15.65" x14ac:dyDescent="0.3">
      <c r="A251" s="70"/>
      <c r="B251" s="71"/>
      <c r="C251" s="72"/>
      <c r="D251" s="72"/>
      <c r="E251" s="72"/>
      <c r="F251" s="72"/>
      <c r="G251" s="72"/>
      <c r="H251" s="72"/>
      <c r="I251" s="79"/>
      <c r="J251" s="74"/>
      <c r="K251" s="80"/>
      <c r="L251" s="64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spans="1:27" ht="15.65" x14ac:dyDescent="0.3">
      <c r="A252" s="70"/>
      <c r="B252" s="71"/>
      <c r="C252" s="72"/>
      <c r="D252" s="72"/>
      <c r="E252" s="72"/>
      <c r="F252" s="72"/>
      <c r="G252" s="72"/>
      <c r="H252" s="72"/>
      <c r="I252" s="79"/>
      <c r="J252" s="74"/>
      <c r="K252" s="80"/>
      <c r="L252" s="64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spans="1:27" ht="15.65" x14ac:dyDescent="0.3">
      <c r="A253" s="70"/>
      <c r="B253" s="71"/>
      <c r="C253" s="72"/>
      <c r="D253" s="72"/>
      <c r="E253" s="72"/>
      <c r="F253" s="72"/>
      <c r="G253" s="72"/>
      <c r="H253" s="72"/>
      <c r="I253" s="79"/>
      <c r="J253" s="74"/>
      <c r="K253" s="80"/>
      <c r="L253" s="64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spans="1:27" ht="15.65" x14ac:dyDescent="0.3">
      <c r="A254" s="70"/>
      <c r="B254" s="71"/>
      <c r="C254" s="72"/>
      <c r="D254" s="72"/>
      <c r="E254" s="72"/>
      <c r="F254" s="72"/>
      <c r="G254" s="72"/>
      <c r="H254" s="72"/>
      <c r="I254" s="79"/>
      <c r="J254" s="74"/>
      <c r="K254" s="80"/>
      <c r="L254" s="64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spans="1:27" ht="15.65" x14ac:dyDescent="0.3">
      <c r="A255" s="70"/>
      <c r="B255" s="71"/>
      <c r="C255" s="72"/>
      <c r="D255" s="72"/>
      <c r="E255" s="72"/>
      <c r="F255" s="72"/>
      <c r="G255" s="72"/>
      <c r="H255" s="72"/>
      <c r="I255" s="79"/>
      <c r="J255" s="74"/>
      <c r="K255" s="80"/>
      <c r="L255" s="64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spans="1:27" ht="15.65" x14ac:dyDescent="0.3">
      <c r="A256" s="70"/>
      <c r="B256" s="71"/>
      <c r="C256" s="72"/>
      <c r="D256" s="72"/>
      <c r="E256" s="72"/>
      <c r="F256" s="72"/>
      <c r="G256" s="72"/>
      <c r="H256" s="72"/>
      <c r="I256" s="79"/>
      <c r="J256" s="74"/>
      <c r="K256" s="80"/>
      <c r="L256" s="64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spans="1:27" ht="15.65" x14ac:dyDescent="0.3">
      <c r="A257" s="70"/>
      <c r="B257" s="71"/>
      <c r="C257" s="72"/>
      <c r="D257" s="72"/>
      <c r="E257" s="72"/>
      <c r="F257" s="72"/>
      <c r="G257" s="72"/>
      <c r="H257" s="72"/>
      <c r="I257" s="79"/>
      <c r="J257" s="74"/>
      <c r="K257" s="80"/>
      <c r="L257" s="64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spans="1:27" ht="15.65" x14ac:dyDescent="0.3">
      <c r="A258" s="70"/>
      <c r="B258" s="71"/>
      <c r="C258" s="72"/>
      <c r="D258" s="72"/>
      <c r="E258" s="72"/>
      <c r="F258" s="72"/>
      <c r="G258" s="72"/>
      <c r="H258" s="72"/>
      <c r="I258" s="79"/>
      <c r="J258" s="74"/>
      <c r="K258" s="80"/>
      <c r="L258" s="64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spans="1:27" ht="15.65" x14ac:dyDescent="0.3">
      <c r="A259" s="70"/>
      <c r="B259" s="71"/>
      <c r="C259" s="72"/>
      <c r="D259" s="72"/>
      <c r="E259" s="72"/>
      <c r="F259" s="72"/>
      <c r="G259" s="72"/>
      <c r="H259" s="72"/>
      <c r="I259" s="79"/>
      <c r="J259" s="74"/>
      <c r="K259" s="80"/>
      <c r="L259" s="64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spans="1:27" ht="15.65" x14ac:dyDescent="0.3">
      <c r="A260" s="70"/>
      <c r="B260" s="71"/>
      <c r="C260" s="72"/>
      <c r="D260" s="72"/>
      <c r="E260" s="72"/>
      <c r="F260" s="72"/>
      <c r="G260" s="72"/>
      <c r="H260" s="72"/>
      <c r="I260" s="79"/>
      <c r="J260" s="74"/>
      <c r="K260" s="80"/>
      <c r="L260" s="64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spans="1:27" ht="15.65" x14ac:dyDescent="0.3">
      <c r="A261" s="70"/>
      <c r="B261" s="71"/>
      <c r="C261" s="72"/>
      <c r="D261" s="72"/>
      <c r="E261" s="72"/>
      <c r="F261" s="72"/>
      <c r="G261" s="72"/>
      <c r="H261" s="72"/>
      <c r="I261" s="79"/>
      <c r="J261" s="74"/>
      <c r="K261" s="80"/>
      <c r="L261" s="64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spans="1:27" ht="15.65" x14ac:dyDescent="0.3">
      <c r="A262" s="70"/>
      <c r="B262" s="71"/>
      <c r="C262" s="72"/>
      <c r="D262" s="72"/>
      <c r="E262" s="72"/>
      <c r="F262" s="72"/>
      <c r="G262" s="72"/>
      <c r="H262" s="72"/>
      <c r="I262" s="79"/>
      <c r="J262" s="74"/>
      <c r="K262" s="80"/>
      <c r="L262" s="64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spans="1:27" ht="15.65" x14ac:dyDescent="0.3">
      <c r="A263" s="70"/>
      <c r="B263" s="71"/>
      <c r="C263" s="72"/>
      <c r="D263" s="72"/>
      <c r="E263" s="72"/>
      <c r="F263" s="72"/>
      <c r="G263" s="72"/>
      <c r="H263" s="72"/>
      <c r="I263" s="79"/>
      <c r="J263" s="74"/>
      <c r="K263" s="80"/>
      <c r="L263" s="64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spans="1:27" ht="15.65" x14ac:dyDescent="0.3">
      <c r="A264" s="70"/>
      <c r="B264" s="71"/>
      <c r="C264" s="72"/>
      <c r="D264" s="72"/>
      <c r="E264" s="72"/>
      <c r="F264" s="72"/>
      <c r="G264" s="72"/>
      <c r="H264" s="72"/>
      <c r="I264" s="79"/>
      <c r="J264" s="74"/>
      <c r="K264" s="80"/>
      <c r="L264" s="64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spans="1:27" ht="15.65" x14ac:dyDescent="0.3">
      <c r="A265" s="70"/>
      <c r="B265" s="71"/>
      <c r="C265" s="72"/>
      <c r="D265" s="72"/>
      <c r="E265" s="72"/>
      <c r="F265" s="72"/>
      <c r="G265" s="72"/>
      <c r="H265" s="72"/>
      <c r="I265" s="79"/>
      <c r="J265" s="74"/>
      <c r="K265" s="80"/>
      <c r="L265" s="64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spans="1:27" ht="15.65" x14ac:dyDescent="0.3">
      <c r="A266" s="70"/>
      <c r="B266" s="71"/>
      <c r="C266" s="72"/>
      <c r="D266" s="72"/>
      <c r="E266" s="72"/>
      <c r="F266" s="72"/>
      <c r="G266" s="72"/>
      <c r="H266" s="72"/>
      <c r="I266" s="79"/>
      <c r="J266" s="74"/>
      <c r="K266" s="80"/>
      <c r="L266" s="64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spans="1:27" ht="15.65" x14ac:dyDescent="0.3">
      <c r="A267" s="70"/>
      <c r="B267" s="71"/>
      <c r="C267" s="72"/>
      <c r="D267" s="72"/>
      <c r="E267" s="72"/>
      <c r="F267" s="72"/>
      <c r="G267" s="72"/>
      <c r="H267" s="72"/>
      <c r="I267" s="79"/>
      <c r="J267" s="74"/>
      <c r="K267" s="80"/>
      <c r="L267" s="64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spans="1:27" ht="15.65" x14ac:dyDescent="0.3">
      <c r="A268" s="70"/>
      <c r="B268" s="71"/>
      <c r="C268" s="72"/>
      <c r="D268" s="72"/>
      <c r="E268" s="72"/>
      <c r="F268" s="72"/>
      <c r="G268" s="72"/>
      <c r="H268" s="72"/>
      <c r="I268" s="79"/>
      <c r="J268" s="74"/>
      <c r="K268" s="80"/>
      <c r="L268" s="64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spans="1:27" ht="15.65" x14ac:dyDescent="0.3">
      <c r="A269" s="70"/>
      <c r="B269" s="71"/>
      <c r="C269" s="72"/>
      <c r="D269" s="72"/>
      <c r="E269" s="72"/>
      <c r="F269" s="72"/>
      <c r="G269" s="72"/>
      <c r="H269" s="72"/>
      <c r="I269" s="79"/>
      <c r="J269" s="74"/>
      <c r="K269" s="80"/>
      <c r="L269" s="64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spans="1:27" ht="15.65" x14ac:dyDescent="0.3">
      <c r="A270" s="70"/>
      <c r="B270" s="71"/>
      <c r="C270" s="72"/>
      <c r="D270" s="72"/>
      <c r="E270" s="72"/>
      <c r="F270" s="72"/>
      <c r="G270" s="72"/>
      <c r="H270" s="72"/>
      <c r="I270" s="79"/>
      <c r="J270" s="74"/>
      <c r="K270" s="80"/>
      <c r="L270" s="64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spans="1:27" ht="15.65" x14ac:dyDescent="0.3">
      <c r="A271" s="70"/>
      <c r="B271" s="71"/>
      <c r="C271" s="72"/>
      <c r="D271" s="72"/>
      <c r="E271" s="72"/>
      <c r="F271" s="72"/>
      <c r="G271" s="72"/>
      <c r="H271" s="72"/>
      <c r="I271" s="79"/>
      <c r="J271" s="74"/>
      <c r="K271" s="80"/>
      <c r="L271" s="64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spans="1:27" ht="15.65" x14ac:dyDescent="0.3">
      <c r="A272" s="70"/>
      <c r="B272" s="71"/>
      <c r="C272" s="72"/>
      <c r="D272" s="72"/>
      <c r="E272" s="72"/>
      <c r="F272" s="72"/>
      <c r="G272" s="72"/>
      <c r="H272" s="72"/>
      <c r="I272" s="79"/>
      <c r="J272" s="74"/>
      <c r="K272" s="80"/>
      <c r="L272" s="64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spans="1:27" ht="15.65" x14ac:dyDescent="0.3">
      <c r="A273" s="70"/>
      <c r="B273" s="71"/>
      <c r="C273" s="72"/>
      <c r="D273" s="72"/>
      <c r="E273" s="72"/>
      <c r="F273" s="72"/>
      <c r="G273" s="72"/>
      <c r="H273" s="72"/>
      <c r="I273" s="79"/>
      <c r="J273" s="74"/>
      <c r="K273" s="80"/>
      <c r="L273" s="64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spans="1:27" ht="15.65" x14ac:dyDescent="0.3">
      <c r="A274" s="70"/>
      <c r="B274" s="71"/>
      <c r="C274" s="72"/>
      <c r="D274" s="72"/>
      <c r="E274" s="72"/>
      <c r="F274" s="72"/>
      <c r="G274" s="72"/>
      <c r="H274" s="72"/>
      <c r="I274" s="79"/>
      <c r="J274" s="74"/>
      <c r="K274" s="80"/>
      <c r="L274" s="64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spans="1:27" ht="15.65" x14ac:dyDescent="0.3">
      <c r="A275" s="70"/>
      <c r="B275" s="71"/>
      <c r="C275" s="72"/>
      <c r="D275" s="72"/>
      <c r="E275" s="72"/>
      <c r="F275" s="72"/>
      <c r="G275" s="72"/>
      <c r="H275" s="72"/>
      <c r="I275" s="79"/>
      <c r="J275" s="74"/>
      <c r="K275" s="80"/>
      <c r="L275" s="64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spans="1:27" ht="15.65" x14ac:dyDescent="0.3">
      <c r="A276" s="70"/>
      <c r="B276" s="71"/>
      <c r="C276" s="72"/>
      <c r="D276" s="72"/>
      <c r="E276" s="72"/>
      <c r="F276" s="72"/>
      <c r="G276" s="72"/>
      <c r="H276" s="72"/>
      <c r="I276" s="79"/>
      <c r="J276" s="74"/>
      <c r="K276" s="80"/>
      <c r="L276" s="64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spans="1:27" ht="15.65" x14ac:dyDescent="0.3">
      <c r="A277" s="70"/>
      <c r="B277" s="71"/>
      <c r="C277" s="72"/>
      <c r="D277" s="72"/>
      <c r="E277" s="72"/>
      <c r="F277" s="72"/>
      <c r="G277" s="72"/>
      <c r="H277" s="72"/>
      <c r="I277" s="79"/>
      <c r="J277" s="74"/>
      <c r="K277" s="80"/>
      <c r="L277" s="64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spans="1:27" ht="15.65" x14ac:dyDescent="0.3">
      <c r="A278" s="70"/>
      <c r="B278" s="71"/>
      <c r="C278" s="72"/>
      <c r="D278" s="72"/>
      <c r="E278" s="72"/>
      <c r="F278" s="72"/>
      <c r="G278" s="72"/>
      <c r="H278" s="72"/>
      <c r="I278" s="79"/>
      <c r="J278" s="74"/>
      <c r="K278" s="80"/>
      <c r="L278" s="64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spans="1:27" ht="15.65" x14ac:dyDescent="0.3">
      <c r="A279" s="70"/>
      <c r="B279" s="71"/>
      <c r="C279" s="72"/>
      <c r="D279" s="72"/>
      <c r="E279" s="72"/>
      <c r="F279" s="72"/>
      <c r="G279" s="72"/>
      <c r="H279" s="72"/>
      <c r="I279" s="79"/>
      <c r="J279" s="74"/>
      <c r="K279" s="80"/>
      <c r="L279" s="64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spans="1:27" ht="15.65" x14ac:dyDescent="0.3">
      <c r="A280" s="70"/>
      <c r="B280" s="71"/>
      <c r="C280" s="72"/>
      <c r="D280" s="72"/>
      <c r="E280" s="72"/>
      <c r="F280" s="72"/>
      <c r="G280" s="72"/>
      <c r="H280" s="72"/>
      <c r="I280" s="79"/>
      <c r="J280" s="74"/>
      <c r="K280" s="80"/>
      <c r="L280" s="64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spans="1:27" ht="15.65" x14ac:dyDescent="0.3">
      <c r="A281" s="70"/>
      <c r="B281" s="71"/>
      <c r="C281" s="72"/>
      <c r="D281" s="72"/>
      <c r="E281" s="72"/>
      <c r="F281" s="72"/>
      <c r="G281" s="72"/>
      <c r="H281" s="72"/>
      <c r="I281" s="79"/>
      <c r="J281" s="74"/>
      <c r="K281" s="80"/>
      <c r="L281" s="64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spans="1:27" ht="15.65" x14ac:dyDescent="0.3">
      <c r="A282" s="70"/>
      <c r="B282" s="71"/>
      <c r="C282" s="72"/>
      <c r="D282" s="72"/>
      <c r="E282" s="72"/>
      <c r="F282" s="72"/>
      <c r="G282" s="72"/>
      <c r="H282" s="72"/>
      <c r="I282" s="79"/>
      <c r="J282" s="74"/>
      <c r="K282" s="80"/>
      <c r="L282" s="64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spans="1:27" ht="15.65" x14ac:dyDescent="0.3">
      <c r="A283" s="70"/>
      <c r="B283" s="71"/>
      <c r="C283" s="72"/>
      <c r="D283" s="72"/>
      <c r="E283" s="72"/>
      <c r="F283" s="72"/>
      <c r="G283" s="72"/>
      <c r="H283" s="72"/>
      <c r="I283" s="79"/>
      <c r="J283" s="74"/>
      <c r="K283" s="80"/>
      <c r="L283" s="64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spans="1:27" ht="15.65" x14ac:dyDescent="0.3">
      <c r="A284" s="70"/>
      <c r="B284" s="71"/>
      <c r="C284" s="72"/>
      <c r="D284" s="72"/>
      <c r="E284" s="72"/>
      <c r="F284" s="72"/>
      <c r="G284" s="72"/>
      <c r="H284" s="72"/>
      <c r="I284" s="79"/>
      <c r="J284" s="74"/>
      <c r="K284" s="80"/>
      <c r="L284" s="64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spans="1:27" ht="15.65" x14ac:dyDescent="0.3">
      <c r="A285" s="70"/>
      <c r="B285" s="71"/>
      <c r="C285" s="72"/>
      <c r="D285" s="72"/>
      <c r="E285" s="72"/>
      <c r="F285" s="72"/>
      <c r="G285" s="72"/>
      <c r="H285" s="72"/>
      <c r="I285" s="79"/>
      <c r="J285" s="74"/>
      <c r="K285" s="80"/>
      <c r="L285" s="64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spans="1:27" ht="15.65" x14ac:dyDescent="0.3">
      <c r="A286" s="70"/>
      <c r="B286" s="71"/>
      <c r="C286" s="72"/>
      <c r="D286" s="72"/>
      <c r="E286" s="72"/>
      <c r="F286" s="72"/>
      <c r="G286" s="72"/>
      <c r="H286" s="72"/>
      <c r="I286" s="79"/>
      <c r="J286" s="74"/>
      <c r="K286" s="80"/>
      <c r="L286" s="64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spans="1:27" ht="15.65" x14ac:dyDescent="0.3">
      <c r="A287" s="70"/>
      <c r="B287" s="71"/>
      <c r="C287" s="72"/>
      <c r="D287" s="72"/>
      <c r="E287" s="72"/>
      <c r="F287" s="72"/>
      <c r="G287" s="72"/>
      <c r="H287" s="72"/>
      <c r="I287" s="79"/>
      <c r="J287" s="74"/>
      <c r="K287" s="80"/>
      <c r="L287" s="64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spans="1:27" ht="15.65" x14ac:dyDescent="0.3">
      <c r="A288" s="70"/>
      <c r="B288" s="71"/>
      <c r="C288" s="72"/>
      <c r="D288" s="72"/>
      <c r="E288" s="72"/>
      <c r="F288" s="72"/>
      <c r="G288" s="72"/>
      <c r="H288" s="72"/>
      <c r="I288" s="79"/>
      <c r="J288" s="74"/>
      <c r="K288" s="80"/>
      <c r="L288" s="64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spans="1:27" ht="15.65" x14ac:dyDescent="0.3">
      <c r="A289" s="70"/>
      <c r="B289" s="71"/>
      <c r="C289" s="72"/>
      <c r="D289" s="72"/>
      <c r="E289" s="72"/>
      <c r="F289" s="72"/>
      <c r="G289" s="72"/>
      <c r="H289" s="72"/>
      <c r="I289" s="79"/>
      <c r="J289" s="74"/>
      <c r="K289" s="80"/>
      <c r="L289" s="64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spans="1:27" ht="15.65" x14ac:dyDescent="0.3">
      <c r="A290" s="70"/>
      <c r="B290" s="71"/>
      <c r="C290" s="72"/>
      <c r="D290" s="72"/>
      <c r="E290" s="72"/>
      <c r="F290" s="72"/>
      <c r="G290" s="72"/>
      <c r="H290" s="72"/>
      <c r="I290" s="79"/>
      <c r="J290" s="74"/>
      <c r="K290" s="80"/>
      <c r="L290" s="64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spans="1:27" ht="15.65" x14ac:dyDescent="0.3">
      <c r="A291" s="70"/>
      <c r="B291" s="71"/>
      <c r="C291" s="72"/>
      <c r="D291" s="72"/>
      <c r="E291" s="72"/>
      <c r="F291" s="72"/>
      <c r="G291" s="72"/>
      <c r="H291" s="72"/>
      <c r="I291" s="79"/>
      <c r="J291" s="74"/>
      <c r="K291" s="80"/>
      <c r="L291" s="64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spans="1:27" ht="15.65" x14ac:dyDescent="0.3">
      <c r="A292" s="70"/>
      <c r="B292" s="71"/>
      <c r="C292" s="72"/>
      <c r="D292" s="72"/>
      <c r="E292" s="72"/>
      <c r="F292" s="72"/>
      <c r="G292" s="72"/>
      <c r="H292" s="72"/>
      <c r="I292" s="79"/>
      <c r="J292" s="74"/>
      <c r="K292" s="80"/>
      <c r="L292" s="64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spans="1:27" ht="15.65" x14ac:dyDescent="0.3">
      <c r="A293" s="70"/>
      <c r="B293" s="71"/>
      <c r="C293" s="72"/>
      <c r="D293" s="72"/>
      <c r="E293" s="72"/>
      <c r="F293" s="72"/>
      <c r="G293" s="72"/>
      <c r="H293" s="72"/>
      <c r="I293" s="79"/>
      <c r="J293" s="74"/>
      <c r="K293" s="80"/>
      <c r="L293" s="64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spans="1:27" ht="15.65" x14ac:dyDescent="0.3">
      <c r="A294" s="70"/>
      <c r="B294" s="71"/>
      <c r="C294" s="72"/>
      <c r="D294" s="72"/>
      <c r="E294" s="72"/>
      <c r="F294" s="72"/>
      <c r="G294" s="72"/>
      <c r="H294" s="72"/>
      <c r="I294" s="79"/>
      <c r="J294" s="74"/>
      <c r="K294" s="80"/>
      <c r="L294" s="64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spans="1:27" ht="15.65" x14ac:dyDescent="0.3">
      <c r="A295" s="70"/>
      <c r="B295" s="71"/>
      <c r="C295" s="72"/>
      <c r="D295" s="72"/>
      <c r="E295" s="72"/>
      <c r="F295" s="72"/>
      <c r="G295" s="72"/>
      <c r="H295" s="72"/>
      <c r="I295" s="79"/>
      <c r="J295" s="74"/>
      <c r="K295" s="80"/>
      <c r="L295" s="64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spans="1:27" ht="15.65" x14ac:dyDescent="0.3">
      <c r="A296" s="70"/>
      <c r="B296" s="71"/>
      <c r="C296" s="72"/>
      <c r="D296" s="72"/>
      <c r="E296" s="72"/>
      <c r="F296" s="72"/>
      <c r="G296" s="72"/>
      <c r="H296" s="72"/>
      <c r="I296" s="79"/>
      <c r="J296" s="74"/>
      <c r="K296" s="80"/>
      <c r="L296" s="64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spans="1:27" ht="15.65" x14ac:dyDescent="0.3">
      <c r="A297" s="70"/>
      <c r="B297" s="71"/>
      <c r="C297" s="72"/>
      <c r="D297" s="72"/>
      <c r="E297" s="72"/>
      <c r="F297" s="72"/>
      <c r="G297" s="72"/>
      <c r="H297" s="72"/>
      <c r="I297" s="79"/>
      <c r="J297" s="74"/>
      <c r="K297" s="80"/>
      <c r="L297" s="64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spans="1:27" ht="15.65" x14ac:dyDescent="0.3">
      <c r="A298" s="70"/>
      <c r="B298" s="71"/>
      <c r="C298" s="72"/>
      <c r="D298" s="72"/>
      <c r="E298" s="72"/>
      <c r="F298" s="72"/>
      <c r="G298" s="72"/>
      <c r="H298" s="72"/>
      <c r="I298" s="79"/>
      <c r="J298" s="74"/>
      <c r="K298" s="80"/>
      <c r="L298" s="64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spans="1:27" ht="15.65" x14ac:dyDescent="0.3">
      <c r="A299" s="70"/>
      <c r="B299" s="71"/>
      <c r="C299" s="72"/>
      <c r="D299" s="72"/>
      <c r="E299" s="72"/>
      <c r="F299" s="72"/>
      <c r="G299" s="72"/>
      <c r="H299" s="72"/>
      <c r="I299" s="79"/>
      <c r="J299" s="74"/>
      <c r="K299" s="80"/>
      <c r="L299" s="64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spans="1:27" ht="15.65" x14ac:dyDescent="0.3">
      <c r="A300" s="70"/>
      <c r="B300" s="71"/>
      <c r="C300" s="72"/>
      <c r="D300" s="72"/>
      <c r="E300" s="72"/>
      <c r="F300" s="72"/>
      <c r="G300" s="72"/>
      <c r="H300" s="72"/>
      <c r="I300" s="79"/>
      <c r="J300" s="74"/>
      <c r="K300" s="80"/>
      <c r="L300" s="64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spans="1:27" ht="15.65" x14ac:dyDescent="0.3">
      <c r="A301" s="70"/>
      <c r="B301" s="71"/>
      <c r="C301" s="72"/>
      <c r="D301" s="72"/>
      <c r="E301" s="72"/>
      <c r="F301" s="72"/>
      <c r="G301" s="72"/>
      <c r="H301" s="72"/>
      <c r="I301" s="79"/>
      <c r="J301" s="74"/>
      <c r="K301" s="80"/>
      <c r="L301" s="64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spans="1:27" ht="15.65" x14ac:dyDescent="0.3">
      <c r="A302" s="70"/>
      <c r="B302" s="71"/>
      <c r="C302" s="72"/>
      <c r="D302" s="72"/>
      <c r="E302" s="72"/>
      <c r="F302" s="72"/>
      <c r="G302" s="72"/>
      <c r="H302" s="72"/>
      <c r="I302" s="79"/>
      <c r="J302" s="74"/>
      <c r="K302" s="80"/>
      <c r="L302" s="64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spans="1:27" ht="15.65" x14ac:dyDescent="0.3">
      <c r="A303" s="70"/>
      <c r="B303" s="71"/>
      <c r="C303" s="72"/>
      <c r="D303" s="72"/>
      <c r="E303" s="72"/>
      <c r="F303" s="72"/>
      <c r="G303" s="72"/>
      <c r="H303" s="72"/>
      <c r="I303" s="79"/>
      <c r="J303" s="74"/>
      <c r="K303" s="80"/>
      <c r="L303" s="64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spans="1:27" ht="15.65" x14ac:dyDescent="0.3">
      <c r="A304" s="70"/>
      <c r="B304" s="71"/>
      <c r="C304" s="72"/>
      <c r="D304" s="72"/>
      <c r="E304" s="72"/>
      <c r="F304" s="72"/>
      <c r="G304" s="72"/>
      <c r="H304" s="72"/>
      <c r="I304" s="79"/>
      <c r="J304" s="74"/>
      <c r="K304" s="80"/>
      <c r="L304" s="64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spans="1:27" ht="15.65" x14ac:dyDescent="0.3">
      <c r="A305" s="70"/>
      <c r="B305" s="71"/>
      <c r="C305" s="72"/>
      <c r="D305" s="72"/>
      <c r="E305" s="72"/>
      <c r="F305" s="72"/>
      <c r="G305" s="72"/>
      <c r="H305" s="72"/>
      <c r="I305" s="79"/>
      <c r="J305" s="74"/>
      <c r="K305" s="80"/>
      <c r="L305" s="64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spans="1:27" ht="15.65" x14ac:dyDescent="0.3">
      <c r="A306" s="70"/>
      <c r="B306" s="71"/>
      <c r="C306" s="72"/>
      <c r="D306" s="72"/>
      <c r="E306" s="72"/>
      <c r="F306" s="72"/>
      <c r="G306" s="72"/>
      <c r="H306" s="72"/>
      <c r="I306" s="79"/>
      <c r="J306" s="74"/>
      <c r="K306" s="80"/>
      <c r="L306" s="64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spans="1:27" ht="15.65" x14ac:dyDescent="0.3">
      <c r="A307" s="70"/>
      <c r="B307" s="71"/>
      <c r="C307" s="72"/>
      <c r="D307" s="72"/>
      <c r="E307" s="72"/>
      <c r="F307" s="72"/>
      <c r="G307" s="72"/>
      <c r="H307" s="72"/>
      <c r="I307" s="79"/>
      <c r="J307" s="74"/>
      <c r="K307" s="80"/>
      <c r="L307" s="64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spans="1:27" ht="15.65" x14ac:dyDescent="0.3">
      <c r="A308" s="70"/>
      <c r="B308" s="71"/>
      <c r="C308" s="72"/>
      <c r="D308" s="72"/>
      <c r="E308" s="72"/>
      <c r="F308" s="72"/>
      <c r="G308" s="72"/>
      <c r="H308" s="72"/>
      <c r="I308" s="79"/>
      <c r="J308" s="74"/>
      <c r="K308" s="80"/>
      <c r="L308" s="64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spans="1:27" ht="15.65" x14ac:dyDescent="0.3">
      <c r="A309" s="70"/>
      <c r="B309" s="71"/>
      <c r="C309" s="72"/>
      <c r="D309" s="72"/>
      <c r="E309" s="72"/>
      <c r="F309" s="72"/>
      <c r="G309" s="72"/>
      <c r="H309" s="72"/>
      <c r="I309" s="79"/>
      <c r="J309" s="74"/>
      <c r="K309" s="80"/>
      <c r="L309" s="64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spans="1:27" ht="15.65" x14ac:dyDescent="0.3">
      <c r="A310" s="70"/>
      <c r="B310" s="71"/>
      <c r="C310" s="72"/>
      <c r="D310" s="72"/>
      <c r="E310" s="72"/>
      <c r="F310" s="72"/>
      <c r="G310" s="72"/>
      <c r="H310" s="72"/>
      <c r="I310" s="79"/>
      <c r="J310" s="74"/>
      <c r="K310" s="80"/>
      <c r="L310" s="64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spans="1:27" ht="15.65" x14ac:dyDescent="0.3">
      <c r="A311" s="70"/>
      <c r="B311" s="71"/>
      <c r="C311" s="72"/>
      <c r="D311" s="72"/>
      <c r="E311" s="72"/>
      <c r="F311" s="72"/>
      <c r="G311" s="72"/>
      <c r="H311" s="72"/>
      <c r="I311" s="79"/>
      <c r="J311" s="74"/>
      <c r="K311" s="80"/>
      <c r="L311" s="64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spans="1:27" ht="15.65" x14ac:dyDescent="0.3">
      <c r="A312" s="70"/>
      <c r="B312" s="71"/>
      <c r="C312" s="72"/>
      <c r="D312" s="72"/>
      <c r="E312" s="72"/>
      <c r="F312" s="72"/>
      <c r="G312" s="72"/>
      <c r="H312" s="72"/>
      <c r="I312" s="79"/>
      <c r="J312" s="74"/>
      <c r="K312" s="80"/>
      <c r="L312" s="64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spans="1:27" ht="15.65" x14ac:dyDescent="0.3">
      <c r="A313" s="70"/>
      <c r="B313" s="71"/>
      <c r="C313" s="72"/>
      <c r="D313" s="72"/>
      <c r="E313" s="72"/>
      <c r="F313" s="72"/>
      <c r="G313" s="72"/>
      <c r="H313" s="72"/>
      <c r="I313" s="79"/>
      <c r="J313" s="74"/>
      <c r="K313" s="80"/>
      <c r="L313" s="64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spans="1:27" ht="15.65" x14ac:dyDescent="0.3">
      <c r="A314" s="70"/>
      <c r="B314" s="71"/>
      <c r="C314" s="72"/>
      <c r="D314" s="72"/>
      <c r="E314" s="72"/>
      <c r="F314" s="72"/>
      <c r="G314" s="72"/>
      <c r="H314" s="72"/>
      <c r="I314" s="79"/>
      <c r="J314" s="74"/>
      <c r="K314" s="80"/>
      <c r="L314" s="64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spans="1:27" ht="15.65" x14ac:dyDescent="0.3">
      <c r="A315" s="70"/>
      <c r="B315" s="71"/>
      <c r="C315" s="72"/>
      <c r="D315" s="72"/>
      <c r="E315" s="72"/>
      <c r="F315" s="72"/>
      <c r="G315" s="72"/>
      <c r="H315" s="72"/>
      <c r="I315" s="79"/>
      <c r="J315" s="74"/>
      <c r="K315" s="80"/>
      <c r="L315" s="64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spans="1:27" ht="15.65" x14ac:dyDescent="0.3">
      <c r="A316" s="70"/>
      <c r="B316" s="71"/>
      <c r="C316" s="72"/>
      <c r="D316" s="72"/>
      <c r="E316" s="72"/>
      <c r="F316" s="72"/>
      <c r="G316" s="72"/>
      <c r="H316" s="72"/>
      <c r="I316" s="79"/>
      <c r="J316" s="74"/>
      <c r="K316" s="80"/>
      <c r="L316" s="64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spans="1:27" ht="15.65" x14ac:dyDescent="0.3">
      <c r="A317" s="70"/>
      <c r="B317" s="71"/>
      <c r="C317" s="72"/>
      <c r="D317" s="72"/>
      <c r="E317" s="72"/>
      <c r="F317" s="72"/>
      <c r="G317" s="72"/>
      <c r="H317" s="72"/>
      <c r="I317" s="79"/>
      <c r="J317" s="74"/>
      <c r="K317" s="80"/>
      <c r="L317" s="64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spans="1:27" ht="15.65" x14ac:dyDescent="0.3">
      <c r="A318" s="70"/>
      <c r="B318" s="71"/>
      <c r="C318" s="72"/>
      <c r="D318" s="72"/>
      <c r="E318" s="72"/>
      <c r="F318" s="72"/>
      <c r="G318" s="72"/>
      <c r="H318" s="72"/>
      <c r="I318" s="79"/>
      <c r="J318" s="74"/>
      <c r="K318" s="80"/>
      <c r="L318" s="64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spans="1:27" ht="15.65" x14ac:dyDescent="0.3">
      <c r="A319" s="70"/>
      <c r="B319" s="71"/>
      <c r="C319" s="72"/>
      <c r="D319" s="72"/>
      <c r="E319" s="72"/>
      <c r="F319" s="72"/>
      <c r="G319" s="72"/>
      <c r="H319" s="72"/>
      <c r="I319" s="79"/>
      <c r="J319" s="74"/>
      <c r="K319" s="80"/>
      <c r="L319" s="64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spans="1:27" ht="15.65" x14ac:dyDescent="0.3">
      <c r="A320" s="70"/>
      <c r="B320" s="71"/>
      <c r="C320" s="72"/>
      <c r="D320" s="72"/>
      <c r="E320" s="72"/>
      <c r="F320" s="72"/>
      <c r="G320" s="72"/>
      <c r="H320" s="72"/>
      <c r="I320" s="79"/>
      <c r="J320" s="74"/>
      <c r="K320" s="80"/>
      <c r="L320" s="64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spans="1:27" ht="15.65" x14ac:dyDescent="0.3">
      <c r="A321" s="70"/>
      <c r="B321" s="71"/>
      <c r="C321" s="72"/>
      <c r="D321" s="72"/>
      <c r="E321" s="72"/>
      <c r="F321" s="72"/>
      <c r="G321" s="72"/>
      <c r="H321" s="72"/>
      <c r="I321" s="79"/>
      <c r="J321" s="74"/>
      <c r="K321" s="80"/>
      <c r="L321" s="64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spans="1:27" ht="15.65" x14ac:dyDescent="0.3">
      <c r="A322" s="70"/>
      <c r="B322" s="71"/>
      <c r="C322" s="72"/>
      <c r="D322" s="72"/>
      <c r="E322" s="72"/>
      <c r="F322" s="72"/>
      <c r="G322" s="72"/>
      <c r="H322" s="72"/>
      <c r="I322" s="79"/>
      <c r="J322" s="74"/>
      <c r="K322" s="80"/>
      <c r="L322" s="64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spans="1:27" ht="15.65" x14ac:dyDescent="0.3">
      <c r="A323" s="70"/>
      <c r="B323" s="71"/>
      <c r="C323" s="72"/>
      <c r="D323" s="72"/>
      <c r="E323" s="72"/>
      <c r="F323" s="72"/>
      <c r="G323" s="72"/>
      <c r="H323" s="72"/>
      <c r="I323" s="79"/>
      <c r="J323" s="74"/>
      <c r="K323" s="80"/>
      <c r="L323" s="64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spans="1:27" ht="15.65" x14ac:dyDescent="0.3">
      <c r="A324" s="70"/>
      <c r="B324" s="71"/>
      <c r="C324" s="72"/>
      <c r="D324" s="72"/>
      <c r="E324" s="72"/>
      <c r="F324" s="72"/>
      <c r="G324" s="72"/>
      <c r="H324" s="72"/>
      <c r="I324" s="79"/>
      <c r="J324" s="74"/>
      <c r="K324" s="80"/>
      <c r="L324" s="64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spans="1:27" ht="15.65" x14ac:dyDescent="0.3">
      <c r="A325" s="70"/>
      <c r="B325" s="71"/>
      <c r="C325" s="72"/>
      <c r="D325" s="72"/>
      <c r="E325" s="72"/>
      <c r="F325" s="72"/>
      <c r="G325" s="72"/>
      <c r="H325" s="72"/>
      <c r="I325" s="79"/>
      <c r="J325" s="74"/>
      <c r="K325" s="80"/>
      <c r="L325" s="64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spans="1:27" ht="15.65" x14ac:dyDescent="0.3">
      <c r="A326" s="70"/>
      <c r="B326" s="71"/>
      <c r="C326" s="72"/>
      <c r="D326" s="72"/>
      <c r="E326" s="72"/>
      <c r="F326" s="72"/>
      <c r="G326" s="72"/>
      <c r="H326" s="72"/>
      <c r="I326" s="79"/>
      <c r="J326" s="74"/>
      <c r="K326" s="80"/>
      <c r="L326" s="64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spans="1:27" ht="15.65" x14ac:dyDescent="0.3">
      <c r="A327" s="70"/>
      <c r="B327" s="71"/>
      <c r="C327" s="72"/>
      <c r="D327" s="72"/>
      <c r="E327" s="72"/>
      <c r="F327" s="72"/>
      <c r="G327" s="72"/>
      <c r="H327" s="72"/>
      <c r="I327" s="79"/>
      <c r="J327" s="74"/>
      <c r="K327" s="80"/>
      <c r="L327" s="64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spans="1:27" ht="15.65" x14ac:dyDescent="0.3">
      <c r="A328" s="70"/>
      <c r="B328" s="71"/>
      <c r="C328" s="72"/>
      <c r="D328" s="72"/>
      <c r="E328" s="72"/>
      <c r="F328" s="72"/>
      <c r="G328" s="72"/>
      <c r="H328" s="72"/>
      <c r="I328" s="79"/>
      <c r="J328" s="74"/>
      <c r="K328" s="80"/>
      <c r="L328" s="64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spans="1:27" ht="15.65" x14ac:dyDescent="0.3">
      <c r="A329" s="70"/>
      <c r="B329" s="71"/>
      <c r="C329" s="72"/>
      <c r="D329" s="72"/>
      <c r="E329" s="72"/>
      <c r="F329" s="72"/>
      <c r="G329" s="72"/>
      <c r="H329" s="72"/>
      <c r="I329" s="79"/>
      <c r="J329" s="74"/>
      <c r="K329" s="80"/>
      <c r="L329" s="64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spans="1:27" ht="15.65" x14ac:dyDescent="0.3">
      <c r="A330" s="70"/>
      <c r="B330" s="71"/>
      <c r="C330" s="72"/>
      <c r="D330" s="72"/>
      <c r="E330" s="72"/>
      <c r="F330" s="72"/>
      <c r="G330" s="72"/>
      <c r="H330" s="72"/>
      <c r="I330" s="79"/>
      <c r="J330" s="74"/>
      <c r="K330" s="80"/>
      <c r="L330" s="64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spans="1:27" ht="15.65" x14ac:dyDescent="0.3">
      <c r="A331" s="70"/>
      <c r="B331" s="71"/>
      <c r="C331" s="72"/>
      <c r="D331" s="72"/>
      <c r="E331" s="72"/>
      <c r="F331" s="72"/>
      <c r="G331" s="72"/>
      <c r="H331" s="72"/>
      <c r="I331" s="79"/>
      <c r="J331" s="74"/>
      <c r="K331" s="80"/>
      <c r="L331" s="64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spans="1:27" ht="15.65" x14ac:dyDescent="0.3">
      <c r="A332" s="70"/>
      <c r="B332" s="71"/>
      <c r="C332" s="72"/>
      <c r="D332" s="72"/>
      <c r="E332" s="72"/>
      <c r="F332" s="72"/>
      <c r="G332" s="72"/>
      <c r="H332" s="72"/>
      <c r="I332" s="79"/>
      <c r="J332" s="74"/>
      <c r="K332" s="80"/>
      <c r="L332" s="64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spans="1:27" ht="15.65" x14ac:dyDescent="0.3">
      <c r="A333" s="70"/>
      <c r="B333" s="71"/>
      <c r="C333" s="72"/>
      <c r="D333" s="72"/>
      <c r="E333" s="72"/>
      <c r="F333" s="72"/>
      <c r="G333" s="72"/>
      <c r="H333" s="72"/>
      <c r="I333" s="79"/>
      <c r="J333" s="74"/>
      <c r="K333" s="80"/>
      <c r="L333" s="64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spans="1:27" ht="15.65" x14ac:dyDescent="0.3">
      <c r="A334" s="70"/>
      <c r="B334" s="71"/>
      <c r="C334" s="72"/>
      <c r="D334" s="72"/>
      <c r="E334" s="72"/>
      <c r="F334" s="72"/>
      <c r="G334" s="72"/>
      <c r="H334" s="72"/>
      <c r="I334" s="79"/>
      <c r="J334" s="74"/>
      <c r="K334" s="80"/>
      <c r="L334" s="64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spans="1:27" ht="15.65" x14ac:dyDescent="0.3">
      <c r="A335" s="70"/>
      <c r="B335" s="71"/>
      <c r="C335" s="72"/>
      <c r="D335" s="72"/>
      <c r="E335" s="72"/>
      <c r="F335" s="72"/>
      <c r="G335" s="72"/>
      <c r="H335" s="72"/>
      <c r="I335" s="79"/>
      <c r="J335" s="74"/>
      <c r="K335" s="80"/>
      <c r="L335" s="64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spans="1:27" ht="15.65" x14ac:dyDescent="0.3">
      <c r="A336" s="70"/>
      <c r="B336" s="71"/>
      <c r="C336" s="72"/>
      <c r="D336" s="72"/>
      <c r="E336" s="72"/>
      <c r="F336" s="72"/>
      <c r="G336" s="72"/>
      <c r="H336" s="72"/>
      <c r="I336" s="79"/>
      <c r="J336" s="74"/>
      <c r="K336" s="80"/>
      <c r="L336" s="64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spans="1:27" ht="15.65" x14ac:dyDescent="0.3">
      <c r="A337" s="70"/>
      <c r="B337" s="71"/>
      <c r="C337" s="72"/>
      <c r="D337" s="72"/>
      <c r="E337" s="72"/>
      <c r="F337" s="72"/>
      <c r="G337" s="72"/>
      <c r="H337" s="72"/>
      <c r="I337" s="79"/>
      <c r="J337" s="74"/>
      <c r="K337" s="80"/>
      <c r="L337" s="64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spans="1:27" ht="15.65" x14ac:dyDescent="0.3">
      <c r="A338" s="70"/>
      <c r="B338" s="71"/>
      <c r="C338" s="72"/>
      <c r="D338" s="72"/>
      <c r="E338" s="72"/>
      <c r="F338" s="72"/>
      <c r="G338" s="72"/>
      <c r="H338" s="72"/>
      <c r="I338" s="79"/>
      <c r="J338" s="74"/>
      <c r="K338" s="80"/>
      <c r="L338" s="64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spans="1:27" ht="15.65" x14ac:dyDescent="0.3">
      <c r="A339" s="70"/>
      <c r="B339" s="71"/>
      <c r="C339" s="72"/>
      <c r="D339" s="72"/>
      <c r="E339" s="72"/>
      <c r="F339" s="72"/>
      <c r="G339" s="72"/>
      <c r="H339" s="72"/>
      <c r="I339" s="79"/>
      <c r="J339" s="74"/>
      <c r="K339" s="80"/>
      <c r="L339" s="64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spans="1:27" ht="15.65" x14ac:dyDescent="0.3">
      <c r="A340" s="70"/>
      <c r="B340" s="71"/>
      <c r="C340" s="72"/>
      <c r="D340" s="72"/>
      <c r="E340" s="72"/>
      <c r="F340" s="72"/>
      <c r="G340" s="72"/>
      <c r="H340" s="72"/>
      <c r="I340" s="79"/>
      <c r="J340" s="74"/>
      <c r="K340" s="80"/>
      <c r="L340" s="64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spans="1:27" ht="15.65" x14ac:dyDescent="0.3">
      <c r="A341" s="70"/>
      <c r="B341" s="71"/>
      <c r="C341" s="72"/>
      <c r="D341" s="72"/>
      <c r="E341" s="72"/>
      <c r="F341" s="72"/>
      <c r="G341" s="72"/>
      <c r="H341" s="72"/>
      <c r="I341" s="79"/>
      <c r="J341" s="74"/>
      <c r="K341" s="80"/>
      <c r="L341" s="64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spans="1:27" ht="15.65" x14ac:dyDescent="0.3">
      <c r="A342" s="70"/>
      <c r="B342" s="71"/>
      <c r="C342" s="72"/>
      <c r="D342" s="72"/>
      <c r="E342" s="72"/>
      <c r="F342" s="72"/>
      <c r="G342" s="72"/>
      <c r="H342" s="72"/>
      <c r="I342" s="79"/>
      <c r="J342" s="74"/>
      <c r="K342" s="80"/>
      <c r="L342" s="64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spans="1:27" ht="15.65" x14ac:dyDescent="0.3">
      <c r="A343" s="70"/>
      <c r="B343" s="71"/>
      <c r="C343" s="72"/>
      <c r="D343" s="72"/>
      <c r="E343" s="72"/>
      <c r="F343" s="72"/>
      <c r="G343" s="72"/>
      <c r="H343" s="72"/>
      <c r="I343" s="79"/>
      <c r="J343" s="74"/>
      <c r="K343" s="80"/>
      <c r="L343" s="64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spans="1:27" ht="15.65" x14ac:dyDescent="0.3">
      <c r="A344" s="70"/>
      <c r="B344" s="71"/>
      <c r="C344" s="72"/>
      <c r="D344" s="72"/>
      <c r="E344" s="72"/>
      <c r="F344" s="72"/>
      <c r="G344" s="72"/>
      <c r="H344" s="72"/>
      <c r="I344" s="79"/>
      <c r="J344" s="74"/>
      <c r="K344" s="80"/>
      <c r="L344" s="64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spans="1:27" ht="15.65" x14ac:dyDescent="0.3">
      <c r="A345" s="70"/>
      <c r="B345" s="71"/>
      <c r="C345" s="72"/>
      <c r="D345" s="72"/>
      <c r="E345" s="72"/>
      <c r="F345" s="72"/>
      <c r="G345" s="72"/>
      <c r="H345" s="72"/>
      <c r="I345" s="79"/>
      <c r="J345" s="74"/>
      <c r="K345" s="80"/>
      <c r="L345" s="64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spans="1:27" ht="15.65" x14ac:dyDescent="0.3">
      <c r="A346" s="70"/>
      <c r="B346" s="71"/>
      <c r="C346" s="72"/>
      <c r="D346" s="72"/>
      <c r="E346" s="72"/>
      <c r="F346" s="72"/>
      <c r="G346" s="72"/>
      <c r="H346" s="72"/>
      <c r="I346" s="79"/>
      <c r="J346" s="74"/>
      <c r="K346" s="80"/>
      <c r="L346" s="64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spans="1:27" ht="15.65" x14ac:dyDescent="0.3">
      <c r="A347" s="70"/>
      <c r="B347" s="71"/>
      <c r="C347" s="72"/>
      <c r="D347" s="72"/>
      <c r="E347" s="72"/>
      <c r="F347" s="72"/>
      <c r="G347" s="72"/>
      <c r="H347" s="72"/>
      <c r="I347" s="79"/>
      <c r="J347" s="74"/>
      <c r="K347" s="80"/>
      <c r="L347" s="64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spans="1:27" ht="15.65" x14ac:dyDescent="0.3">
      <c r="A348" s="70"/>
      <c r="B348" s="71"/>
      <c r="C348" s="72"/>
      <c r="D348" s="72"/>
      <c r="E348" s="72"/>
      <c r="F348" s="72"/>
      <c r="G348" s="72"/>
      <c r="H348" s="72"/>
      <c r="I348" s="79"/>
      <c r="J348" s="74"/>
      <c r="K348" s="80"/>
      <c r="L348" s="64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spans="1:27" ht="15.65" x14ac:dyDescent="0.3">
      <c r="A349" s="70"/>
      <c r="B349" s="71"/>
      <c r="C349" s="72"/>
      <c r="D349" s="72"/>
      <c r="E349" s="72"/>
      <c r="F349" s="72"/>
      <c r="G349" s="72"/>
      <c r="H349" s="72"/>
      <c r="I349" s="79"/>
      <c r="J349" s="74"/>
      <c r="K349" s="80"/>
      <c r="L349" s="64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spans="1:27" ht="15.65" x14ac:dyDescent="0.3">
      <c r="A350" s="70"/>
      <c r="B350" s="71"/>
      <c r="C350" s="72"/>
      <c r="D350" s="72"/>
      <c r="E350" s="72"/>
      <c r="F350" s="72"/>
      <c r="G350" s="72"/>
      <c r="H350" s="72"/>
      <c r="I350" s="79"/>
      <c r="J350" s="74"/>
      <c r="K350" s="80"/>
      <c r="L350" s="64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spans="1:27" ht="15.65" x14ac:dyDescent="0.3">
      <c r="A351" s="70"/>
      <c r="B351" s="71"/>
      <c r="C351" s="72"/>
      <c r="D351" s="72"/>
      <c r="E351" s="72"/>
      <c r="F351" s="72"/>
      <c r="G351" s="72"/>
      <c r="H351" s="72"/>
      <c r="I351" s="79"/>
      <c r="J351" s="74"/>
      <c r="K351" s="80"/>
      <c r="L351" s="64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spans="1:27" ht="15.65" x14ac:dyDescent="0.3">
      <c r="A352" s="70"/>
      <c r="B352" s="71"/>
      <c r="C352" s="72"/>
      <c r="D352" s="72"/>
      <c r="E352" s="72"/>
      <c r="F352" s="72"/>
      <c r="G352" s="72"/>
      <c r="H352" s="72"/>
      <c r="I352" s="79"/>
      <c r="J352" s="74"/>
      <c r="K352" s="80"/>
      <c r="L352" s="64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spans="1:27" ht="15.65" x14ac:dyDescent="0.3">
      <c r="A353" s="70"/>
      <c r="B353" s="71"/>
      <c r="C353" s="72"/>
      <c r="D353" s="72"/>
      <c r="E353" s="72"/>
      <c r="F353" s="72"/>
      <c r="G353" s="72"/>
      <c r="H353" s="72"/>
      <c r="I353" s="79"/>
      <c r="J353" s="74"/>
      <c r="K353" s="80"/>
      <c r="L353" s="64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spans="1:27" ht="15.65" x14ac:dyDescent="0.3">
      <c r="A354" s="70"/>
      <c r="B354" s="71"/>
      <c r="C354" s="72"/>
      <c r="D354" s="72"/>
      <c r="E354" s="72"/>
      <c r="F354" s="72"/>
      <c r="G354" s="72"/>
      <c r="H354" s="72"/>
      <c r="I354" s="79"/>
      <c r="J354" s="74"/>
      <c r="K354" s="80"/>
      <c r="L354" s="64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spans="1:27" ht="15.65" x14ac:dyDescent="0.3">
      <c r="A355" s="70"/>
      <c r="B355" s="71"/>
      <c r="C355" s="72"/>
      <c r="D355" s="72"/>
      <c r="E355" s="72"/>
      <c r="F355" s="72"/>
      <c r="G355" s="72"/>
      <c r="H355" s="72"/>
      <c r="I355" s="79"/>
      <c r="J355" s="74"/>
      <c r="K355" s="80"/>
      <c r="L355" s="64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spans="1:27" ht="15.65" x14ac:dyDescent="0.3">
      <c r="A356" s="70"/>
      <c r="B356" s="71"/>
      <c r="C356" s="72"/>
      <c r="D356" s="72"/>
      <c r="E356" s="72"/>
      <c r="F356" s="72"/>
      <c r="G356" s="72"/>
      <c r="H356" s="72"/>
      <c r="I356" s="79"/>
      <c r="J356" s="74"/>
      <c r="K356" s="80"/>
      <c r="L356" s="64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spans="1:27" ht="15.65" x14ac:dyDescent="0.3">
      <c r="A357" s="70"/>
      <c r="B357" s="71"/>
      <c r="C357" s="72"/>
      <c r="D357" s="72"/>
      <c r="E357" s="72"/>
      <c r="F357" s="72"/>
      <c r="G357" s="72"/>
      <c r="H357" s="72"/>
      <c r="I357" s="79"/>
      <c r="J357" s="74"/>
      <c r="K357" s="80"/>
      <c r="L357" s="64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spans="1:27" ht="15.65" x14ac:dyDescent="0.3">
      <c r="A358" s="70"/>
      <c r="B358" s="71"/>
      <c r="C358" s="72"/>
      <c r="D358" s="72"/>
      <c r="E358" s="72"/>
      <c r="F358" s="72"/>
      <c r="G358" s="72"/>
      <c r="H358" s="72"/>
      <c r="I358" s="79"/>
      <c r="J358" s="74"/>
      <c r="K358" s="80"/>
      <c r="L358" s="64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spans="1:27" ht="15.65" x14ac:dyDescent="0.3">
      <c r="A359" s="70"/>
      <c r="B359" s="71"/>
      <c r="C359" s="72"/>
      <c r="D359" s="72"/>
      <c r="E359" s="72"/>
      <c r="F359" s="72"/>
      <c r="G359" s="72"/>
      <c r="H359" s="72"/>
      <c r="I359" s="79"/>
      <c r="J359" s="74"/>
      <c r="K359" s="80"/>
      <c r="L359" s="64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spans="1:27" ht="15.65" x14ac:dyDescent="0.3">
      <c r="A360" s="70"/>
      <c r="B360" s="71"/>
      <c r="C360" s="72"/>
      <c r="D360" s="72"/>
      <c r="E360" s="72"/>
      <c r="F360" s="72"/>
      <c r="G360" s="72"/>
      <c r="H360" s="72"/>
      <c r="I360" s="79"/>
      <c r="J360" s="74"/>
      <c r="K360" s="80"/>
      <c r="L360" s="64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spans="1:27" ht="15.65" x14ac:dyDescent="0.3">
      <c r="A361" s="70"/>
      <c r="B361" s="71"/>
      <c r="C361" s="72"/>
      <c r="D361" s="72"/>
      <c r="E361" s="72"/>
      <c r="F361" s="72"/>
      <c r="G361" s="72"/>
      <c r="H361" s="72"/>
      <c r="I361" s="79"/>
      <c r="J361" s="74"/>
      <c r="K361" s="80"/>
      <c r="L361" s="64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spans="1:27" ht="15.65" x14ac:dyDescent="0.3">
      <c r="A362" s="70"/>
      <c r="B362" s="71"/>
      <c r="C362" s="72"/>
      <c r="D362" s="72"/>
      <c r="E362" s="72"/>
      <c r="F362" s="72"/>
      <c r="G362" s="72"/>
      <c r="H362" s="72"/>
      <c r="I362" s="79"/>
      <c r="J362" s="74"/>
      <c r="K362" s="80"/>
      <c r="L362" s="64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spans="1:27" ht="15.65" x14ac:dyDescent="0.3">
      <c r="A363" s="70"/>
      <c r="B363" s="71"/>
      <c r="C363" s="72"/>
      <c r="D363" s="72"/>
      <c r="E363" s="72"/>
      <c r="F363" s="72"/>
      <c r="G363" s="72"/>
      <c r="H363" s="72"/>
      <c r="I363" s="79"/>
      <c r="J363" s="74"/>
      <c r="K363" s="80"/>
      <c r="L363" s="64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spans="1:27" ht="15.65" x14ac:dyDescent="0.3">
      <c r="A364" s="70"/>
      <c r="B364" s="71"/>
      <c r="C364" s="72"/>
      <c r="D364" s="72"/>
      <c r="E364" s="72"/>
      <c r="F364" s="72"/>
      <c r="G364" s="72"/>
      <c r="H364" s="72"/>
      <c r="I364" s="79"/>
      <c r="J364" s="74"/>
      <c r="K364" s="80"/>
      <c r="L364" s="64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spans="1:27" ht="15.65" x14ac:dyDescent="0.3">
      <c r="A365" s="70"/>
      <c r="B365" s="71"/>
      <c r="C365" s="72"/>
      <c r="D365" s="72"/>
      <c r="E365" s="72"/>
      <c r="F365" s="72"/>
      <c r="G365" s="72"/>
      <c r="H365" s="72"/>
      <c r="I365" s="79"/>
      <c r="J365" s="74"/>
      <c r="K365" s="80"/>
      <c r="L365" s="64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spans="1:27" ht="15.65" x14ac:dyDescent="0.3">
      <c r="A366" s="70"/>
      <c r="B366" s="71"/>
      <c r="C366" s="72"/>
      <c r="D366" s="72"/>
      <c r="E366" s="72"/>
      <c r="F366" s="72"/>
      <c r="G366" s="72"/>
      <c r="H366" s="72"/>
      <c r="I366" s="79"/>
      <c r="J366" s="74"/>
      <c r="K366" s="80"/>
      <c r="L366" s="64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spans="1:27" ht="15.65" x14ac:dyDescent="0.3">
      <c r="A367" s="70"/>
      <c r="B367" s="71"/>
      <c r="C367" s="72"/>
      <c r="D367" s="72"/>
      <c r="E367" s="72"/>
      <c r="F367" s="72"/>
      <c r="G367" s="72"/>
      <c r="H367" s="72"/>
      <c r="I367" s="79"/>
      <c r="J367" s="74"/>
      <c r="K367" s="80"/>
      <c r="L367" s="64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spans="1:27" ht="15.65" x14ac:dyDescent="0.3">
      <c r="A368" s="70"/>
      <c r="B368" s="71"/>
      <c r="C368" s="72"/>
      <c r="D368" s="72"/>
      <c r="E368" s="72"/>
      <c r="F368" s="72"/>
      <c r="G368" s="72"/>
      <c r="H368" s="72"/>
      <c r="I368" s="79"/>
      <c r="J368" s="74"/>
      <c r="K368" s="80"/>
      <c r="L368" s="64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spans="1:27" ht="15.65" x14ac:dyDescent="0.3">
      <c r="A369" s="70"/>
      <c r="B369" s="71"/>
      <c r="C369" s="72"/>
      <c r="D369" s="72"/>
      <c r="E369" s="72"/>
      <c r="F369" s="72"/>
      <c r="G369" s="72"/>
      <c r="H369" s="72"/>
      <c r="I369" s="79"/>
      <c r="J369" s="74"/>
      <c r="K369" s="80"/>
      <c r="L369" s="64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spans="1:27" ht="15.65" x14ac:dyDescent="0.3">
      <c r="A370" s="70"/>
      <c r="B370" s="71"/>
      <c r="C370" s="72"/>
      <c r="D370" s="72"/>
      <c r="E370" s="72"/>
      <c r="F370" s="72"/>
      <c r="G370" s="72"/>
      <c r="H370" s="72"/>
      <c r="I370" s="79"/>
      <c r="J370" s="74"/>
      <c r="K370" s="80"/>
      <c r="L370" s="64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spans="1:27" ht="15.65" x14ac:dyDescent="0.3">
      <c r="A371" s="70"/>
      <c r="B371" s="71"/>
      <c r="C371" s="72"/>
      <c r="D371" s="72"/>
      <c r="E371" s="72"/>
      <c r="F371" s="72"/>
      <c r="G371" s="72"/>
      <c r="H371" s="72"/>
      <c r="I371" s="79"/>
      <c r="J371" s="74"/>
      <c r="K371" s="80"/>
      <c r="L371" s="64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spans="1:27" ht="15.65" x14ac:dyDescent="0.3">
      <c r="A372" s="70"/>
      <c r="B372" s="71"/>
      <c r="C372" s="72"/>
      <c r="D372" s="72"/>
      <c r="E372" s="72"/>
      <c r="F372" s="72"/>
      <c r="G372" s="72"/>
      <c r="H372" s="72"/>
      <c r="I372" s="79"/>
      <c r="J372" s="74"/>
      <c r="K372" s="80"/>
      <c r="L372" s="64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spans="1:27" ht="15.65" x14ac:dyDescent="0.3">
      <c r="A373" s="70"/>
      <c r="B373" s="71"/>
      <c r="C373" s="72"/>
      <c r="D373" s="72"/>
      <c r="E373" s="72"/>
      <c r="F373" s="72"/>
      <c r="G373" s="72"/>
      <c r="H373" s="72"/>
      <c r="I373" s="79"/>
      <c r="J373" s="74"/>
      <c r="K373" s="80"/>
      <c r="L373" s="64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spans="1:27" ht="15.65" x14ac:dyDescent="0.3">
      <c r="A374" s="70"/>
      <c r="B374" s="71"/>
      <c r="C374" s="72"/>
      <c r="D374" s="72"/>
      <c r="E374" s="72"/>
      <c r="F374" s="72"/>
      <c r="G374" s="72"/>
      <c r="H374" s="72"/>
      <c r="I374" s="79"/>
      <c r="J374" s="74"/>
      <c r="K374" s="80"/>
      <c r="L374" s="64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spans="1:27" ht="15.65" x14ac:dyDescent="0.3">
      <c r="A375" s="70"/>
      <c r="B375" s="71"/>
      <c r="C375" s="72"/>
      <c r="D375" s="72"/>
      <c r="E375" s="72"/>
      <c r="F375" s="72"/>
      <c r="G375" s="72"/>
      <c r="H375" s="72"/>
      <c r="I375" s="79"/>
      <c r="J375" s="74"/>
      <c r="K375" s="80"/>
      <c r="L375" s="64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spans="1:27" ht="15.65" x14ac:dyDescent="0.3">
      <c r="A376" s="70"/>
      <c r="B376" s="71"/>
      <c r="C376" s="72"/>
      <c r="D376" s="72"/>
      <c r="E376" s="72"/>
      <c r="F376" s="72"/>
      <c r="G376" s="72"/>
      <c r="H376" s="72"/>
      <c r="I376" s="79"/>
      <c r="J376" s="74"/>
      <c r="K376" s="80"/>
      <c r="L376" s="64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spans="1:27" ht="15.65" x14ac:dyDescent="0.3">
      <c r="A377" s="70"/>
      <c r="B377" s="71"/>
      <c r="C377" s="72"/>
      <c r="D377" s="72"/>
      <c r="E377" s="72"/>
      <c r="F377" s="72"/>
      <c r="G377" s="72"/>
      <c r="H377" s="72"/>
      <c r="I377" s="79"/>
      <c r="J377" s="74"/>
      <c r="K377" s="80"/>
      <c r="L377" s="64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spans="1:27" ht="15.65" x14ac:dyDescent="0.3">
      <c r="A378" s="70"/>
      <c r="B378" s="71"/>
      <c r="C378" s="72"/>
      <c r="D378" s="72"/>
      <c r="E378" s="72"/>
      <c r="F378" s="72"/>
      <c r="G378" s="72"/>
      <c r="H378" s="72"/>
      <c r="I378" s="79"/>
      <c r="J378" s="74"/>
      <c r="K378" s="80"/>
      <c r="L378" s="64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spans="1:27" ht="15.65" x14ac:dyDescent="0.3">
      <c r="A379" s="70"/>
      <c r="B379" s="71"/>
      <c r="C379" s="72"/>
      <c r="D379" s="72"/>
      <c r="E379" s="72"/>
      <c r="F379" s="72"/>
      <c r="G379" s="72"/>
      <c r="H379" s="72"/>
      <c r="I379" s="79"/>
      <c r="J379" s="74"/>
      <c r="K379" s="80"/>
      <c r="L379" s="64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spans="1:27" ht="15.65" x14ac:dyDescent="0.3">
      <c r="A380" s="70"/>
      <c r="B380" s="71"/>
      <c r="C380" s="72"/>
      <c r="D380" s="72"/>
      <c r="E380" s="72"/>
      <c r="F380" s="72"/>
      <c r="G380" s="72"/>
      <c r="H380" s="72"/>
      <c r="I380" s="79"/>
      <c r="J380" s="74"/>
      <c r="K380" s="80"/>
      <c r="L380" s="64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spans="1:27" ht="15.65" x14ac:dyDescent="0.3">
      <c r="A381" s="70"/>
      <c r="B381" s="71"/>
      <c r="C381" s="72"/>
      <c r="D381" s="72"/>
      <c r="E381" s="72"/>
      <c r="F381" s="72"/>
      <c r="G381" s="72"/>
      <c r="H381" s="72"/>
      <c r="I381" s="79"/>
      <c r="J381" s="74"/>
      <c r="K381" s="80"/>
      <c r="L381" s="64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spans="1:27" ht="15.65" x14ac:dyDescent="0.3">
      <c r="A382" s="70"/>
      <c r="B382" s="71"/>
      <c r="C382" s="72"/>
      <c r="D382" s="72"/>
      <c r="E382" s="72"/>
      <c r="F382" s="72"/>
      <c r="G382" s="72"/>
      <c r="H382" s="72"/>
      <c r="I382" s="79"/>
      <c r="J382" s="74"/>
      <c r="K382" s="80"/>
      <c r="L382" s="64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spans="1:27" ht="15.65" x14ac:dyDescent="0.3">
      <c r="A383" s="70"/>
      <c r="B383" s="71"/>
      <c r="C383" s="72"/>
      <c r="D383" s="72"/>
      <c r="E383" s="72"/>
      <c r="F383" s="72"/>
      <c r="G383" s="72"/>
      <c r="H383" s="72"/>
      <c r="I383" s="79"/>
      <c r="J383" s="74"/>
      <c r="K383" s="80"/>
      <c r="L383" s="64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spans="1:27" ht="15.65" x14ac:dyDescent="0.3">
      <c r="A384" s="70"/>
      <c r="B384" s="71"/>
      <c r="C384" s="72"/>
      <c r="D384" s="72"/>
      <c r="E384" s="72"/>
      <c r="F384" s="72"/>
      <c r="G384" s="72"/>
      <c r="H384" s="72"/>
      <c r="I384" s="79"/>
      <c r="J384" s="74"/>
      <c r="K384" s="80"/>
      <c r="L384" s="64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spans="1:27" ht="15.65" x14ac:dyDescent="0.3">
      <c r="A385" s="70"/>
      <c r="B385" s="71"/>
      <c r="C385" s="72"/>
      <c r="D385" s="72"/>
      <c r="E385" s="72"/>
      <c r="F385" s="72"/>
      <c r="G385" s="72"/>
      <c r="H385" s="72"/>
      <c r="I385" s="79"/>
      <c r="J385" s="74"/>
      <c r="K385" s="80"/>
      <c r="L385" s="64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spans="1:27" ht="15.65" x14ac:dyDescent="0.3">
      <c r="A386" s="70"/>
      <c r="B386" s="71"/>
      <c r="C386" s="72"/>
      <c r="D386" s="72"/>
      <c r="E386" s="72"/>
      <c r="F386" s="72"/>
      <c r="G386" s="72"/>
      <c r="H386" s="72"/>
      <c r="I386" s="79"/>
      <c r="J386" s="74"/>
      <c r="K386" s="80"/>
      <c r="L386" s="64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spans="1:27" ht="15.65" x14ac:dyDescent="0.3">
      <c r="A387" s="70"/>
      <c r="B387" s="71"/>
      <c r="C387" s="72"/>
      <c r="D387" s="72"/>
      <c r="E387" s="72"/>
      <c r="F387" s="72"/>
      <c r="G387" s="72"/>
      <c r="H387" s="72"/>
      <c r="I387" s="79"/>
      <c r="J387" s="74"/>
      <c r="K387" s="80"/>
      <c r="L387" s="64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spans="1:27" ht="15.65" x14ac:dyDescent="0.3">
      <c r="A388" s="70"/>
      <c r="B388" s="71"/>
      <c r="C388" s="72"/>
      <c r="D388" s="72"/>
      <c r="E388" s="72"/>
      <c r="F388" s="72"/>
      <c r="G388" s="72"/>
      <c r="H388" s="72"/>
      <c r="I388" s="79"/>
      <c r="J388" s="74"/>
      <c r="K388" s="80"/>
      <c r="L388" s="64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spans="1:27" ht="15.65" x14ac:dyDescent="0.3">
      <c r="A389" s="70"/>
      <c r="B389" s="71"/>
      <c r="C389" s="72"/>
      <c r="D389" s="72"/>
      <c r="E389" s="72"/>
      <c r="F389" s="72"/>
      <c r="G389" s="72"/>
      <c r="H389" s="72"/>
      <c r="I389" s="79"/>
      <c r="J389" s="74"/>
      <c r="K389" s="80"/>
      <c r="L389" s="64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spans="1:27" ht="15.65" x14ac:dyDescent="0.3">
      <c r="A390" s="70"/>
      <c r="B390" s="71"/>
      <c r="C390" s="72"/>
      <c r="D390" s="72"/>
      <c r="E390" s="72"/>
      <c r="F390" s="72"/>
      <c r="G390" s="72"/>
      <c r="H390" s="72"/>
      <c r="I390" s="79"/>
      <c r="J390" s="74"/>
      <c r="K390" s="80"/>
      <c r="L390" s="64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spans="1:27" ht="15.65" x14ac:dyDescent="0.3">
      <c r="A391" s="70"/>
      <c r="B391" s="71"/>
      <c r="C391" s="72"/>
      <c r="D391" s="72"/>
      <c r="E391" s="72"/>
      <c r="F391" s="72"/>
      <c r="G391" s="72"/>
      <c r="H391" s="72"/>
      <c r="I391" s="79"/>
      <c r="J391" s="74"/>
      <c r="K391" s="80"/>
      <c r="L391" s="64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spans="1:27" ht="15.65" x14ac:dyDescent="0.3">
      <c r="A392" s="70"/>
      <c r="B392" s="71"/>
      <c r="C392" s="72"/>
      <c r="D392" s="72"/>
      <c r="E392" s="72"/>
      <c r="F392" s="72"/>
      <c r="G392" s="72"/>
      <c r="H392" s="72"/>
      <c r="I392" s="79"/>
      <c r="J392" s="74"/>
      <c r="K392" s="80"/>
      <c r="L392" s="64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spans="1:27" ht="15.65" x14ac:dyDescent="0.3">
      <c r="A393" s="70"/>
      <c r="B393" s="71"/>
      <c r="C393" s="72"/>
      <c r="D393" s="72"/>
      <c r="E393" s="72"/>
      <c r="F393" s="72"/>
      <c r="G393" s="72"/>
      <c r="H393" s="72"/>
      <c r="I393" s="79"/>
      <c r="J393" s="74"/>
      <c r="K393" s="80"/>
      <c r="L393" s="64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spans="1:27" ht="15.65" x14ac:dyDescent="0.3">
      <c r="A394" s="70"/>
      <c r="B394" s="71"/>
      <c r="C394" s="72"/>
      <c r="D394" s="72"/>
      <c r="E394" s="72"/>
      <c r="F394" s="72"/>
      <c r="G394" s="72"/>
      <c r="H394" s="72"/>
      <c r="I394" s="79"/>
      <c r="J394" s="74"/>
      <c r="K394" s="80"/>
      <c r="L394" s="64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spans="1:27" ht="15.65" x14ac:dyDescent="0.3">
      <c r="A395" s="70"/>
      <c r="B395" s="71"/>
      <c r="C395" s="72"/>
      <c r="D395" s="72"/>
      <c r="E395" s="72"/>
      <c r="F395" s="72"/>
      <c r="G395" s="72"/>
      <c r="H395" s="72"/>
      <c r="I395" s="79"/>
      <c r="J395" s="74"/>
      <c r="K395" s="80"/>
      <c r="L395" s="64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spans="1:27" ht="15.65" x14ac:dyDescent="0.3">
      <c r="A396" s="70"/>
      <c r="B396" s="71"/>
      <c r="C396" s="72"/>
      <c r="D396" s="72"/>
      <c r="E396" s="72"/>
      <c r="F396" s="72"/>
      <c r="G396" s="72"/>
      <c r="H396" s="72"/>
      <c r="I396" s="79"/>
      <c r="J396" s="74"/>
      <c r="K396" s="80"/>
      <c r="L396" s="64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spans="1:27" ht="15.65" x14ac:dyDescent="0.3">
      <c r="A397" s="70"/>
      <c r="B397" s="71"/>
      <c r="C397" s="72"/>
      <c r="D397" s="72"/>
      <c r="E397" s="72"/>
      <c r="F397" s="72"/>
      <c r="G397" s="72"/>
      <c r="H397" s="72"/>
      <c r="I397" s="79"/>
      <c r="J397" s="74"/>
      <c r="K397" s="80"/>
      <c r="L397" s="64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spans="1:27" ht="15.65" x14ac:dyDescent="0.3">
      <c r="A398" s="70"/>
      <c r="B398" s="71"/>
      <c r="C398" s="72"/>
      <c r="D398" s="72"/>
      <c r="E398" s="72"/>
      <c r="F398" s="72"/>
      <c r="G398" s="72"/>
      <c r="H398" s="72"/>
      <c r="I398" s="79"/>
      <c r="J398" s="74"/>
      <c r="K398" s="80"/>
      <c r="L398" s="64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spans="1:27" ht="15.65" x14ac:dyDescent="0.3">
      <c r="A399" s="70"/>
      <c r="B399" s="71"/>
      <c r="C399" s="72"/>
      <c r="D399" s="72"/>
      <c r="E399" s="72"/>
      <c r="F399" s="72"/>
      <c r="G399" s="72"/>
      <c r="H399" s="72"/>
      <c r="I399" s="79"/>
      <c r="J399" s="74"/>
      <c r="K399" s="80"/>
      <c r="L399" s="64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spans="1:27" ht="15.65" x14ac:dyDescent="0.3">
      <c r="A400" s="70"/>
      <c r="B400" s="71"/>
      <c r="C400" s="72"/>
      <c r="D400" s="72"/>
      <c r="E400" s="72"/>
      <c r="F400" s="72"/>
      <c r="G400" s="72"/>
      <c r="H400" s="72"/>
      <c r="I400" s="79"/>
      <c r="J400" s="74"/>
      <c r="K400" s="80"/>
      <c r="L400" s="64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spans="1:27" ht="15.65" x14ac:dyDescent="0.3">
      <c r="A401" s="70"/>
      <c r="B401" s="71"/>
      <c r="C401" s="72"/>
      <c r="D401" s="72"/>
      <c r="E401" s="72"/>
      <c r="F401" s="72"/>
      <c r="G401" s="72"/>
      <c r="H401" s="72"/>
      <c r="I401" s="79"/>
      <c r="J401" s="74"/>
      <c r="K401" s="80"/>
      <c r="L401" s="64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spans="1:27" ht="15.65" x14ac:dyDescent="0.3">
      <c r="A402" s="70"/>
      <c r="B402" s="71"/>
      <c r="C402" s="72"/>
      <c r="D402" s="72"/>
      <c r="E402" s="72"/>
      <c r="F402" s="72"/>
      <c r="G402" s="72"/>
      <c r="H402" s="72"/>
      <c r="I402" s="79"/>
      <c r="J402" s="74"/>
      <c r="K402" s="80"/>
      <c r="L402" s="64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spans="1:27" ht="15.65" x14ac:dyDescent="0.3">
      <c r="A403" s="70"/>
      <c r="B403" s="71"/>
      <c r="C403" s="72"/>
      <c r="D403" s="72"/>
      <c r="E403" s="72"/>
      <c r="F403" s="72"/>
      <c r="G403" s="72"/>
      <c r="H403" s="72"/>
      <c r="I403" s="79"/>
      <c r="J403" s="74"/>
      <c r="K403" s="80"/>
      <c r="L403" s="64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spans="1:27" ht="15.65" x14ac:dyDescent="0.3">
      <c r="A404" s="70"/>
      <c r="B404" s="71"/>
      <c r="C404" s="72"/>
      <c r="D404" s="72"/>
      <c r="E404" s="72"/>
      <c r="F404" s="72"/>
      <c r="G404" s="72"/>
      <c r="H404" s="72"/>
      <c r="I404" s="79"/>
      <c r="J404" s="74"/>
      <c r="K404" s="80"/>
      <c r="L404" s="64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spans="1:27" ht="15.65" x14ac:dyDescent="0.3">
      <c r="A405" s="70"/>
      <c r="B405" s="71"/>
      <c r="C405" s="72"/>
      <c r="D405" s="72"/>
      <c r="E405" s="72"/>
      <c r="F405" s="72"/>
      <c r="G405" s="72"/>
      <c r="H405" s="72"/>
      <c r="I405" s="79"/>
      <c r="J405" s="74"/>
      <c r="K405" s="80"/>
      <c r="L405" s="64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spans="1:27" ht="15.65" x14ac:dyDescent="0.3">
      <c r="A406" s="70"/>
      <c r="B406" s="71"/>
      <c r="C406" s="72"/>
      <c r="D406" s="72"/>
      <c r="E406" s="72"/>
      <c r="F406" s="72"/>
      <c r="G406" s="72"/>
      <c r="H406" s="72"/>
      <c r="I406" s="79"/>
      <c r="J406" s="74"/>
      <c r="K406" s="80"/>
      <c r="L406" s="64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spans="1:27" ht="15.65" x14ac:dyDescent="0.3">
      <c r="A407" s="70"/>
      <c r="B407" s="71"/>
      <c r="C407" s="72"/>
      <c r="D407" s="72"/>
      <c r="E407" s="72"/>
      <c r="F407" s="72"/>
      <c r="G407" s="72"/>
      <c r="H407" s="72"/>
      <c r="I407" s="79"/>
      <c r="J407" s="74"/>
      <c r="K407" s="80"/>
      <c r="L407" s="64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spans="1:27" ht="15.65" x14ac:dyDescent="0.3">
      <c r="A408" s="70"/>
      <c r="B408" s="71"/>
      <c r="C408" s="72"/>
      <c r="D408" s="72"/>
      <c r="E408" s="72"/>
      <c r="F408" s="72"/>
      <c r="G408" s="72"/>
      <c r="H408" s="72"/>
      <c r="I408" s="79"/>
      <c r="J408" s="74"/>
      <c r="K408" s="80"/>
      <c r="L408" s="64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spans="1:27" ht="15.65" x14ac:dyDescent="0.3">
      <c r="A409" s="81"/>
      <c r="B409" s="82"/>
      <c r="C409" s="79"/>
      <c r="D409" s="79"/>
      <c r="E409" s="79"/>
      <c r="F409" s="79"/>
      <c r="G409" s="79"/>
      <c r="H409" s="79"/>
      <c r="I409" s="79"/>
      <c r="J409" s="74"/>
      <c r="K409" s="80"/>
      <c r="L409" s="64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spans="1:27" ht="15.65" x14ac:dyDescent="0.3">
      <c r="A410" s="81"/>
      <c r="B410" s="82"/>
      <c r="C410" s="79"/>
      <c r="D410" s="79"/>
      <c r="E410" s="79"/>
      <c r="F410" s="79"/>
      <c r="G410" s="79"/>
      <c r="H410" s="79"/>
      <c r="I410" s="79"/>
      <c r="J410" s="74"/>
      <c r="K410" s="80"/>
      <c r="L410" s="64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spans="1:27" ht="15.65" x14ac:dyDescent="0.3">
      <c r="A411" s="81"/>
      <c r="B411" s="82"/>
      <c r="C411" s="79"/>
      <c r="D411" s="79"/>
      <c r="E411" s="79"/>
      <c r="F411" s="79"/>
      <c r="G411" s="79"/>
      <c r="H411" s="79"/>
      <c r="I411" s="79"/>
      <c r="J411" s="74"/>
      <c r="K411" s="80"/>
      <c r="L411" s="64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spans="1:27" ht="15.65" x14ac:dyDescent="0.3">
      <c r="A412" s="81"/>
      <c r="B412" s="82"/>
      <c r="C412" s="79"/>
      <c r="D412" s="79"/>
      <c r="E412" s="79"/>
      <c r="F412" s="79"/>
      <c r="G412" s="79"/>
      <c r="H412" s="79"/>
      <c r="I412" s="79"/>
      <c r="J412" s="74"/>
      <c r="K412" s="80"/>
      <c r="L412" s="64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spans="1:27" ht="15.65" x14ac:dyDescent="0.3">
      <c r="A413" s="81"/>
      <c r="B413" s="82"/>
      <c r="C413" s="79"/>
      <c r="D413" s="79"/>
      <c r="E413" s="79"/>
      <c r="F413" s="79"/>
      <c r="G413" s="79"/>
      <c r="H413" s="79"/>
      <c r="I413" s="79"/>
      <c r="J413" s="74"/>
      <c r="K413" s="80"/>
      <c r="L413" s="64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spans="1:27" ht="15.65" x14ac:dyDescent="0.3">
      <c r="A414" s="81"/>
      <c r="B414" s="82"/>
      <c r="C414" s="79"/>
      <c r="D414" s="79"/>
      <c r="E414" s="79"/>
      <c r="F414" s="79"/>
      <c r="G414" s="79"/>
      <c r="H414" s="79"/>
      <c r="I414" s="79"/>
      <c r="J414" s="74"/>
      <c r="K414" s="80"/>
      <c r="L414" s="64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spans="1:27" ht="15.65" x14ac:dyDescent="0.3">
      <c r="A415" s="81"/>
      <c r="B415" s="82"/>
      <c r="C415" s="79"/>
      <c r="D415" s="79"/>
      <c r="E415" s="79"/>
      <c r="F415" s="79"/>
      <c r="G415" s="79"/>
      <c r="H415" s="79"/>
      <c r="I415" s="79"/>
      <c r="J415" s="74"/>
      <c r="K415" s="80"/>
      <c r="L415" s="64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spans="1:27" ht="15.65" x14ac:dyDescent="0.3">
      <c r="A416" s="81"/>
      <c r="B416" s="82"/>
      <c r="C416" s="79"/>
      <c r="D416" s="79"/>
      <c r="E416" s="79"/>
      <c r="F416" s="79"/>
      <c r="G416" s="79"/>
      <c r="H416" s="79"/>
      <c r="I416" s="79"/>
      <c r="J416" s="74"/>
      <c r="K416" s="80"/>
      <c r="L416" s="64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spans="1:27" ht="15.65" x14ac:dyDescent="0.3">
      <c r="A417" s="81"/>
      <c r="B417" s="82"/>
      <c r="C417" s="79"/>
      <c r="D417" s="79"/>
      <c r="E417" s="79"/>
      <c r="F417" s="79"/>
      <c r="G417" s="79"/>
      <c r="H417" s="79"/>
      <c r="I417" s="79"/>
      <c r="J417" s="74"/>
      <c r="K417" s="80"/>
      <c r="L417" s="64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spans="1:27" ht="15.65" x14ac:dyDescent="0.3">
      <c r="A418" s="81"/>
      <c r="B418" s="82"/>
      <c r="C418" s="79"/>
      <c r="D418" s="79"/>
      <c r="E418" s="79"/>
      <c r="F418" s="79"/>
      <c r="G418" s="79"/>
      <c r="H418" s="79"/>
      <c r="I418" s="79"/>
      <c r="J418" s="74"/>
      <c r="K418" s="80"/>
      <c r="L418" s="64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spans="1:27" ht="15.65" x14ac:dyDescent="0.3">
      <c r="A419" s="81"/>
      <c r="B419" s="82"/>
      <c r="C419" s="79"/>
      <c r="D419" s="79"/>
      <c r="E419" s="79"/>
      <c r="F419" s="79"/>
      <c r="G419" s="79"/>
      <c r="H419" s="79"/>
      <c r="I419" s="79"/>
      <c r="J419" s="74"/>
      <c r="K419" s="80"/>
      <c r="L419" s="64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spans="1:27" ht="15.65" x14ac:dyDescent="0.3">
      <c r="A420" s="81"/>
      <c r="B420" s="82"/>
      <c r="C420" s="79"/>
      <c r="D420" s="79"/>
      <c r="E420" s="79"/>
      <c r="F420" s="79"/>
      <c r="G420" s="79"/>
      <c r="H420" s="79"/>
      <c r="I420" s="79"/>
      <c r="J420" s="74"/>
      <c r="K420" s="80"/>
      <c r="L420" s="64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spans="1:27" ht="15.65" x14ac:dyDescent="0.3">
      <c r="A421" s="81"/>
      <c r="B421" s="82"/>
      <c r="C421" s="79"/>
      <c r="D421" s="79"/>
      <c r="E421" s="79"/>
      <c r="F421" s="79"/>
      <c r="G421" s="79"/>
      <c r="H421" s="79"/>
      <c r="I421" s="79"/>
      <c r="J421" s="74"/>
      <c r="K421" s="80"/>
      <c r="L421" s="64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spans="1:27" ht="15.65" x14ac:dyDescent="0.3">
      <c r="A422" s="81"/>
      <c r="B422" s="82"/>
      <c r="C422" s="79"/>
      <c r="D422" s="79"/>
      <c r="E422" s="79"/>
      <c r="F422" s="79"/>
      <c r="G422" s="79"/>
      <c r="H422" s="79"/>
      <c r="I422" s="79"/>
      <c r="J422" s="74"/>
      <c r="K422" s="80"/>
      <c r="L422" s="64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spans="1:27" ht="15.65" x14ac:dyDescent="0.3">
      <c r="A423" s="81"/>
      <c r="B423" s="82"/>
      <c r="C423" s="79"/>
      <c r="D423" s="79"/>
      <c r="E423" s="79"/>
      <c r="F423" s="79"/>
      <c r="G423" s="79"/>
      <c r="H423" s="79"/>
      <c r="I423" s="79"/>
      <c r="J423" s="74"/>
      <c r="K423" s="80"/>
      <c r="L423" s="64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spans="1:27" ht="15.65" x14ac:dyDescent="0.3">
      <c r="A424" s="81"/>
      <c r="B424" s="82"/>
      <c r="C424" s="79"/>
      <c r="D424" s="79"/>
      <c r="E424" s="79"/>
      <c r="F424" s="79"/>
      <c r="G424" s="79"/>
      <c r="H424" s="79"/>
      <c r="I424" s="79"/>
      <c r="J424" s="74"/>
      <c r="K424" s="80"/>
      <c r="L424" s="64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spans="1:27" ht="15.65" x14ac:dyDescent="0.3">
      <c r="A425" s="81"/>
      <c r="B425" s="82"/>
      <c r="C425" s="79"/>
      <c r="D425" s="79"/>
      <c r="E425" s="79"/>
      <c r="F425" s="79"/>
      <c r="G425" s="79"/>
      <c r="H425" s="79"/>
      <c r="I425" s="79"/>
      <c r="J425" s="74"/>
      <c r="K425" s="80"/>
      <c r="L425" s="64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spans="1:27" ht="15.65" x14ac:dyDescent="0.3">
      <c r="A426" s="81"/>
      <c r="B426" s="82"/>
      <c r="C426" s="79"/>
      <c r="D426" s="79"/>
      <c r="E426" s="79"/>
      <c r="F426" s="79"/>
      <c r="G426" s="79"/>
      <c r="H426" s="79"/>
      <c r="I426" s="79"/>
      <c r="J426" s="74"/>
      <c r="K426" s="80"/>
      <c r="L426" s="64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spans="1:27" ht="15.65" x14ac:dyDescent="0.3">
      <c r="A427" s="81"/>
      <c r="B427" s="82"/>
      <c r="C427" s="79"/>
      <c r="D427" s="79"/>
      <c r="E427" s="79"/>
      <c r="F427" s="79"/>
      <c r="G427" s="79"/>
      <c r="H427" s="79"/>
      <c r="I427" s="79"/>
      <c r="J427" s="74"/>
      <c r="K427" s="80"/>
      <c r="L427" s="64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spans="1:27" ht="15.65" x14ac:dyDescent="0.3">
      <c r="A428" s="81"/>
      <c r="B428" s="82"/>
      <c r="C428" s="79"/>
      <c r="D428" s="79"/>
      <c r="E428" s="79"/>
      <c r="F428" s="79"/>
      <c r="G428" s="79"/>
      <c r="H428" s="79"/>
      <c r="I428" s="79"/>
      <c r="J428" s="74"/>
      <c r="K428" s="80"/>
      <c r="L428" s="64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spans="1:27" ht="15.65" x14ac:dyDescent="0.3">
      <c r="A429" s="81"/>
      <c r="B429" s="82"/>
      <c r="C429" s="79"/>
      <c r="D429" s="79"/>
      <c r="E429" s="79"/>
      <c r="F429" s="79"/>
      <c r="G429" s="79"/>
      <c r="H429" s="79"/>
      <c r="I429" s="79"/>
      <c r="J429" s="74"/>
      <c r="K429" s="80"/>
      <c r="L429" s="64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spans="1:27" ht="15.65" x14ac:dyDescent="0.3">
      <c r="A430" s="81"/>
      <c r="B430" s="82"/>
      <c r="C430" s="79"/>
      <c r="D430" s="79"/>
      <c r="E430" s="79"/>
      <c r="F430" s="79"/>
      <c r="G430" s="79"/>
      <c r="H430" s="79"/>
      <c r="I430" s="79"/>
      <c r="J430" s="74"/>
      <c r="K430" s="80"/>
      <c r="L430" s="64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spans="1:27" ht="15.65" x14ac:dyDescent="0.3">
      <c r="A431" s="81"/>
      <c r="B431" s="82"/>
      <c r="C431" s="79"/>
      <c r="D431" s="79"/>
      <c r="E431" s="79"/>
      <c r="F431" s="79"/>
      <c r="G431" s="79"/>
      <c r="H431" s="79"/>
      <c r="I431" s="79"/>
      <c r="J431" s="74"/>
      <c r="K431" s="80"/>
      <c r="L431" s="64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spans="1:27" ht="15.65" x14ac:dyDescent="0.3">
      <c r="A432" s="81"/>
      <c r="B432" s="82"/>
      <c r="C432" s="79"/>
      <c r="D432" s="79"/>
      <c r="E432" s="79"/>
      <c r="F432" s="79"/>
      <c r="G432" s="79"/>
      <c r="H432" s="79"/>
      <c r="I432" s="79"/>
      <c r="J432" s="74"/>
      <c r="K432" s="80"/>
      <c r="L432" s="64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spans="1:27" ht="15.65" x14ac:dyDescent="0.3">
      <c r="A433" s="81"/>
      <c r="B433" s="82"/>
      <c r="C433" s="79"/>
      <c r="D433" s="79"/>
      <c r="E433" s="79"/>
      <c r="F433" s="79"/>
      <c r="G433" s="79"/>
      <c r="H433" s="79"/>
      <c r="I433" s="79"/>
      <c r="J433" s="74"/>
      <c r="K433" s="80"/>
      <c r="L433" s="64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spans="1:27" ht="15.65" x14ac:dyDescent="0.3">
      <c r="A434" s="81"/>
      <c r="B434" s="82"/>
      <c r="C434" s="79"/>
      <c r="D434" s="79"/>
      <c r="E434" s="79"/>
      <c r="F434" s="79"/>
      <c r="G434" s="79"/>
      <c r="H434" s="79"/>
      <c r="I434" s="79"/>
      <c r="J434" s="74"/>
      <c r="K434" s="80"/>
      <c r="L434" s="64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spans="1:27" ht="15.65" x14ac:dyDescent="0.3">
      <c r="A435" s="81"/>
      <c r="B435" s="82"/>
      <c r="C435" s="79"/>
      <c r="D435" s="79"/>
      <c r="E435" s="79"/>
      <c r="F435" s="79"/>
      <c r="G435" s="79"/>
      <c r="H435" s="79"/>
      <c r="I435" s="79"/>
      <c r="J435" s="74"/>
      <c r="K435" s="80"/>
      <c r="L435" s="64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spans="1:27" ht="15.65" x14ac:dyDescent="0.3">
      <c r="A436" s="81"/>
      <c r="B436" s="82"/>
      <c r="C436" s="79"/>
      <c r="D436" s="79"/>
      <c r="E436" s="79"/>
      <c r="F436" s="79"/>
      <c r="G436" s="79"/>
      <c r="H436" s="79"/>
      <c r="I436" s="79"/>
      <c r="J436" s="74"/>
      <c r="K436" s="80"/>
      <c r="L436" s="64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spans="1:27" ht="15.65" x14ac:dyDescent="0.3">
      <c r="A437" s="81"/>
      <c r="B437" s="82"/>
      <c r="C437" s="79"/>
      <c r="D437" s="79"/>
      <c r="E437" s="79"/>
      <c r="F437" s="79"/>
      <c r="G437" s="79"/>
      <c r="H437" s="79"/>
      <c r="I437" s="79"/>
      <c r="J437" s="74"/>
      <c r="K437" s="80"/>
      <c r="L437" s="64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spans="1:27" ht="15.65" x14ac:dyDescent="0.3">
      <c r="A438" s="81"/>
      <c r="B438" s="82"/>
      <c r="C438" s="79"/>
      <c r="D438" s="79"/>
      <c r="E438" s="79"/>
      <c r="F438" s="79"/>
      <c r="G438" s="79"/>
      <c r="H438" s="79"/>
      <c r="I438" s="79"/>
      <c r="J438" s="74"/>
      <c r="K438" s="80"/>
      <c r="L438" s="64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spans="1:27" ht="15.65" x14ac:dyDescent="0.3">
      <c r="A439" s="81"/>
      <c r="B439" s="82"/>
      <c r="C439" s="79"/>
      <c r="D439" s="79"/>
      <c r="E439" s="79"/>
      <c r="F439" s="79"/>
      <c r="G439" s="79"/>
      <c r="H439" s="79"/>
      <c r="I439" s="79"/>
      <c r="J439" s="74"/>
      <c r="K439" s="80"/>
      <c r="L439" s="64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spans="1:27" ht="15.65" x14ac:dyDescent="0.3">
      <c r="A440" s="81"/>
      <c r="B440" s="82"/>
      <c r="C440" s="79"/>
      <c r="D440" s="79"/>
      <c r="E440" s="79"/>
      <c r="F440" s="79"/>
      <c r="G440" s="79"/>
      <c r="H440" s="79"/>
      <c r="I440" s="79"/>
      <c r="J440" s="74"/>
      <c r="K440" s="80"/>
      <c r="L440" s="64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spans="1:27" ht="15.65" x14ac:dyDescent="0.3">
      <c r="A441" s="81"/>
      <c r="B441" s="82"/>
      <c r="C441" s="79"/>
      <c r="D441" s="79"/>
      <c r="E441" s="79"/>
      <c r="F441" s="79"/>
      <c r="G441" s="79"/>
      <c r="H441" s="79"/>
      <c r="I441" s="79"/>
      <c r="J441" s="74"/>
      <c r="K441" s="80"/>
      <c r="L441" s="64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spans="1:27" ht="15.65" x14ac:dyDescent="0.3">
      <c r="A442" s="81"/>
      <c r="B442" s="82"/>
      <c r="C442" s="79"/>
      <c r="D442" s="79"/>
      <c r="E442" s="79"/>
      <c r="F442" s="79"/>
      <c r="G442" s="79"/>
      <c r="H442" s="79"/>
      <c r="I442" s="79"/>
      <c r="J442" s="74"/>
      <c r="K442" s="80"/>
      <c r="L442" s="64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spans="1:27" ht="15.65" x14ac:dyDescent="0.3">
      <c r="A443" s="81"/>
      <c r="B443" s="82"/>
      <c r="C443" s="79"/>
      <c r="D443" s="79"/>
      <c r="E443" s="79"/>
      <c r="F443" s="79"/>
      <c r="G443" s="79"/>
      <c r="H443" s="79"/>
      <c r="I443" s="79"/>
      <c r="J443" s="74"/>
      <c r="K443" s="80"/>
      <c r="L443" s="64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spans="1:27" ht="15.65" x14ac:dyDescent="0.3">
      <c r="A444" s="81"/>
      <c r="B444" s="82"/>
      <c r="C444" s="79"/>
      <c r="D444" s="79"/>
      <c r="E444" s="79"/>
      <c r="F444" s="79"/>
      <c r="G444" s="79"/>
      <c r="H444" s="79"/>
      <c r="I444" s="79"/>
      <c r="J444" s="74"/>
      <c r="K444" s="80"/>
      <c r="L444" s="64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spans="1:27" ht="15.65" x14ac:dyDescent="0.3">
      <c r="A445" s="81"/>
      <c r="B445" s="82"/>
      <c r="C445" s="79"/>
      <c r="D445" s="79"/>
      <c r="E445" s="79"/>
      <c r="F445" s="79"/>
      <c r="G445" s="79"/>
      <c r="H445" s="79"/>
      <c r="I445" s="79"/>
      <c r="J445" s="74"/>
      <c r="K445" s="80"/>
      <c r="L445" s="64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spans="1:27" ht="15.65" x14ac:dyDescent="0.3">
      <c r="A446" s="81"/>
      <c r="B446" s="82"/>
      <c r="C446" s="79"/>
      <c r="D446" s="79"/>
      <c r="E446" s="79"/>
      <c r="F446" s="79"/>
      <c r="G446" s="79"/>
      <c r="H446" s="79"/>
      <c r="I446" s="79"/>
      <c r="J446" s="74"/>
      <c r="K446" s="80"/>
      <c r="L446" s="64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spans="1:27" ht="15.65" x14ac:dyDescent="0.3">
      <c r="A447" s="81"/>
      <c r="B447" s="82"/>
      <c r="C447" s="79"/>
      <c r="D447" s="79"/>
      <c r="E447" s="79"/>
      <c r="F447" s="79"/>
      <c r="G447" s="79"/>
      <c r="H447" s="79"/>
      <c r="I447" s="79"/>
      <c r="J447" s="74"/>
      <c r="K447" s="80"/>
      <c r="L447" s="64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spans="1:27" ht="15.65" x14ac:dyDescent="0.3">
      <c r="A448" s="81"/>
      <c r="B448" s="82"/>
      <c r="C448" s="79"/>
      <c r="D448" s="79"/>
      <c r="E448" s="79"/>
      <c r="F448" s="79"/>
      <c r="G448" s="79"/>
      <c r="H448" s="79"/>
      <c r="I448" s="79"/>
      <c r="J448" s="74"/>
      <c r="K448" s="80"/>
      <c r="L448" s="64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spans="1:27" ht="15.65" x14ac:dyDescent="0.3">
      <c r="A449" s="81"/>
      <c r="B449" s="82"/>
      <c r="C449" s="79"/>
      <c r="D449" s="79"/>
      <c r="E449" s="79"/>
      <c r="F449" s="79"/>
      <c r="G449" s="79"/>
      <c r="H449" s="79"/>
      <c r="I449" s="79"/>
      <c r="J449" s="74"/>
      <c r="K449" s="80"/>
      <c r="L449" s="64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spans="1:27" ht="15.65" x14ac:dyDescent="0.3">
      <c r="A450" s="81"/>
      <c r="B450" s="82"/>
      <c r="C450" s="79"/>
      <c r="D450" s="79"/>
      <c r="E450" s="79"/>
      <c r="F450" s="79"/>
      <c r="G450" s="79"/>
      <c r="H450" s="79"/>
      <c r="I450" s="79"/>
      <c r="J450" s="74"/>
      <c r="K450" s="80"/>
      <c r="L450" s="64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spans="1:27" ht="15.65" x14ac:dyDescent="0.3">
      <c r="A451" s="81"/>
      <c r="B451" s="82"/>
      <c r="C451" s="79"/>
      <c r="D451" s="79"/>
      <c r="E451" s="79"/>
      <c r="F451" s="79"/>
      <c r="G451" s="79"/>
      <c r="H451" s="79"/>
      <c r="I451" s="79"/>
      <c r="J451" s="74"/>
      <c r="K451" s="80"/>
      <c r="L451" s="64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spans="1:27" ht="15.65" x14ac:dyDescent="0.3">
      <c r="A452" s="81"/>
      <c r="B452" s="82"/>
      <c r="C452" s="79"/>
      <c r="D452" s="79"/>
      <c r="E452" s="79"/>
      <c r="F452" s="79"/>
      <c r="G452" s="79"/>
      <c r="H452" s="79"/>
      <c r="I452" s="79"/>
      <c r="J452" s="74"/>
      <c r="K452" s="80"/>
      <c r="L452" s="64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spans="1:27" ht="15.65" x14ac:dyDescent="0.3">
      <c r="A453" s="81"/>
      <c r="B453" s="82"/>
      <c r="C453" s="79"/>
      <c r="D453" s="79"/>
      <c r="E453" s="79"/>
      <c r="F453" s="79"/>
      <c r="G453" s="79"/>
      <c r="H453" s="79"/>
      <c r="I453" s="79"/>
      <c r="J453" s="74"/>
      <c r="K453" s="80"/>
      <c r="L453" s="64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spans="1:27" ht="15.65" x14ac:dyDescent="0.3">
      <c r="A454" s="81"/>
      <c r="B454" s="82"/>
      <c r="C454" s="79"/>
      <c r="D454" s="79"/>
      <c r="E454" s="79"/>
      <c r="F454" s="79"/>
      <c r="G454" s="79"/>
      <c r="H454" s="79"/>
      <c r="I454" s="79"/>
      <c r="J454" s="74"/>
      <c r="K454" s="80"/>
      <c r="L454" s="64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spans="1:27" ht="15.65" x14ac:dyDescent="0.3">
      <c r="A455" s="81"/>
      <c r="B455" s="82"/>
      <c r="C455" s="79"/>
      <c r="D455" s="79"/>
      <c r="E455" s="79"/>
      <c r="F455" s="79"/>
      <c r="G455" s="79"/>
      <c r="H455" s="79"/>
      <c r="I455" s="79"/>
      <c r="J455" s="74"/>
      <c r="K455" s="80"/>
      <c r="L455" s="64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spans="1:27" ht="15.65" x14ac:dyDescent="0.3">
      <c r="A456" s="81"/>
      <c r="B456" s="82"/>
      <c r="C456" s="79"/>
      <c r="D456" s="79"/>
      <c r="E456" s="79"/>
      <c r="F456" s="79"/>
      <c r="G456" s="79"/>
      <c r="H456" s="79"/>
      <c r="I456" s="79"/>
      <c r="J456" s="74"/>
      <c r="K456" s="80"/>
      <c r="L456" s="64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spans="1:27" ht="15.65" x14ac:dyDescent="0.3">
      <c r="A457" s="81"/>
      <c r="B457" s="82"/>
      <c r="C457" s="79"/>
      <c r="D457" s="79"/>
      <c r="E457" s="79"/>
      <c r="F457" s="79"/>
      <c r="G457" s="79"/>
      <c r="H457" s="79"/>
      <c r="I457" s="79"/>
      <c r="J457" s="74"/>
      <c r="K457" s="80"/>
      <c r="L457" s="64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spans="1:27" ht="15.65" x14ac:dyDescent="0.3">
      <c r="A458" s="81"/>
      <c r="B458" s="82"/>
      <c r="C458" s="79"/>
      <c r="D458" s="79"/>
      <c r="E458" s="79"/>
      <c r="F458" s="79"/>
      <c r="G458" s="79"/>
      <c r="H458" s="79"/>
      <c r="I458" s="79"/>
      <c r="J458" s="74"/>
      <c r="K458" s="80"/>
      <c r="L458" s="64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spans="1:27" ht="15.65" x14ac:dyDescent="0.3">
      <c r="A459" s="81"/>
      <c r="B459" s="82"/>
      <c r="C459" s="79"/>
      <c r="D459" s="79"/>
      <c r="E459" s="79"/>
      <c r="F459" s="79"/>
      <c r="G459" s="79"/>
      <c r="H459" s="79"/>
      <c r="I459" s="79"/>
      <c r="J459" s="74"/>
      <c r="K459" s="80"/>
      <c r="L459" s="64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spans="1:27" ht="15.65" x14ac:dyDescent="0.3">
      <c r="A460" s="81"/>
      <c r="B460" s="82"/>
      <c r="C460" s="79"/>
      <c r="D460" s="79"/>
      <c r="E460" s="79"/>
      <c r="F460" s="79"/>
      <c r="G460" s="79"/>
      <c r="H460" s="79"/>
      <c r="I460" s="79"/>
      <c r="J460" s="74"/>
      <c r="K460" s="80"/>
      <c r="L460" s="64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spans="1:27" ht="15.65" x14ac:dyDescent="0.3">
      <c r="A461" s="81"/>
      <c r="B461" s="82"/>
      <c r="C461" s="79"/>
      <c r="D461" s="79"/>
      <c r="E461" s="79"/>
      <c r="F461" s="79"/>
      <c r="G461" s="79"/>
      <c r="H461" s="79"/>
      <c r="I461" s="79"/>
      <c r="J461" s="74"/>
      <c r="K461" s="80"/>
      <c r="L461" s="64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spans="1:27" ht="15.65" x14ac:dyDescent="0.3">
      <c r="A462" s="81"/>
      <c r="B462" s="82"/>
      <c r="C462" s="79"/>
      <c r="D462" s="79"/>
      <c r="E462" s="79"/>
      <c r="F462" s="79"/>
      <c r="G462" s="79"/>
      <c r="H462" s="79"/>
      <c r="I462" s="79"/>
      <c r="J462" s="74"/>
      <c r="K462" s="80"/>
      <c r="L462" s="64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spans="1:27" ht="15.65" x14ac:dyDescent="0.3">
      <c r="A463" s="81"/>
      <c r="B463" s="82"/>
      <c r="C463" s="79"/>
      <c r="D463" s="79"/>
      <c r="E463" s="79"/>
      <c r="F463" s="79"/>
      <c r="G463" s="79"/>
      <c r="H463" s="79"/>
      <c r="I463" s="79"/>
      <c r="J463" s="74"/>
      <c r="K463" s="80"/>
      <c r="L463" s="64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spans="1:27" ht="15.65" x14ac:dyDescent="0.3">
      <c r="A464" s="81"/>
      <c r="B464" s="82"/>
      <c r="C464" s="79"/>
      <c r="D464" s="79"/>
      <c r="E464" s="79"/>
      <c r="F464" s="79"/>
      <c r="G464" s="79"/>
      <c r="H464" s="79"/>
      <c r="I464" s="79"/>
      <c r="J464" s="74"/>
      <c r="K464" s="80"/>
      <c r="L464" s="64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spans="1:27" ht="15.65" x14ac:dyDescent="0.3">
      <c r="A465" s="81"/>
      <c r="B465" s="82"/>
      <c r="C465" s="79"/>
      <c r="D465" s="79"/>
      <c r="E465" s="79"/>
      <c r="F465" s="79"/>
      <c r="G465" s="79"/>
      <c r="H465" s="79"/>
      <c r="I465" s="79"/>
      <c r="J465" s="74"/>
      <c r="K465" s="80"/>
      <c r="L465" s="64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spans="1:27" ht="15.65" x14ac:dyDescent="0.3">
      <c r="A466" s="81"/>
      <c r="B466" s="82"/>
      <c r="C466" s="79"/>
      <c r="D466" s="79"/>
      <c r="E466" s="79"/>
      <c r="F466" s="79"/>
      <c r="G466" s="79"/>
      <c r="H466" s="79"/>
      <c r="I466" s="79"/>
      <c r="J466" s="74"/>
      <c r="K466" s="80"/>
      <c r="L466" s="64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spans="1:27" ht="15.65" x14ac:dyDescent="0.3">
      <c r="A467" s="81"/>
      <c r="B467" s="82"/>
      <c r="C467" s="79"/>
      <c r="D467" s="79"/>
      <c r="E467" s="79"/>
      <c r="F467" s="79"/>
      <c r="G467" s="79"/>
      <c r="H467" s="79"/>
      <c r="I467" s="79"/>
      <c r="J467" s="74"/>
      <c r="K467" s="80"/>
      <c r="L467" s="64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spans="1:27" ht="15.65" x14ac:dyDescent="0.3">
      <c r="A468" s="81"/>
      <c r="B468" s="82"/>
      <c r="C468" s="79"/>
      <c r="D468" s="79"/>
      <c r="E468" s="79"/>
      <c r="F468" s="79"/>
      <c r="G468" s="79"/>
      <c r="H468" s="79"/>
      <c r="I468" s="79"/>
      <c r="J468" s="74"/>
      <c r="K468" s="80"/>
      <c r="L468" s="64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spans="1:27" ht="15.65" x14ac:dyDescent="0.3">
      <c r="A469" s="81"/>
      <c r="B469" s="82"/>
      <c r="C469" s="79"/>
      <c r="D469" s="79"/>
      <c r="E469" s="79"/>
      <c r="F469" s="79"/>
      <c r="G469" s="79"/>
      <c r="H469" s="79"/>
      <c r="I469" s="79"/>
      <c r="J469" s="74"/>
      <c r="K469" s="80"/>
      <c r="L469" s="64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spans="1:27" ht="15.65" x14ac:dyDescent="0.3">
      <c r="A470" s="81"/>
      <c r="B470" s="82"/>
      <c r="C470" s="79"/>
      <c r="D470" s="79"/>
      <c r="E470" s="79"/>
      <c r="F470" s="79"/>
      <c r="G470" s="79"/>
      <c r="H470" s="79"/>
      <c r="I470" s="79"/>
      <c r="J470" s="74"/>
      <c r="K470" s="80"/>
      <c r="L470" s="64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spans="1:27" ht="15.65" x14ac:dyDescent="0.3">
      <c r="A471" s="81"/>
      <c r="B471" s="82"/>
      <c r="C471" s="79"/>
      <c r="D471" s="79"/>
      <c r="E471" s="79"/>
      <c r="F471" s="79"/>
      <c r="G471" s="79"/>
      <c r="H471" s="79"/>
      <c r="I471" s="79"/>
      <c r="J471" s="74"/>
      <c r="K471" s="80"/>
      <c r="L471" s="64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spans="1:27" ht="15.65" x14ac:dyDescent="0.3">
      <c r="A472" s="81"/>
      <c r="B472" s="82"/>
      <c r="C472" s="79"/>
      <c r="D472" s="79"/>
      <c r="E472" s="79"/>
      <c r="F472" s="79"/>
      <c r="G472" s="79"/>
      <c r="H472" s="79"/>
      <c r="I472" s="79"/>
      <c r="J472" s="74"/>
      <c r="K472" s="80"/>
      <c r="L472" s="64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spans="1:27" ht="15.65" x14ac:dyDescent="0.3">
      <c r="A473" s="81"/>
      <c r="B473" s="82"/>
      <c r="C473" s="79"/>
      <c r="D473" s="79"/>
      <c r="E473" s="79"/>
      <c r="F473" s="79"/>
      <c r="G473" s="79"/>
      <c r="H473" s="79"/>
      <c r="I473" s="79"/>
      <c r="J473" s="74"/>
      <c r="K473" s="80"/>
      <c r="L473" s="64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spans="1:27" ht="15.65" x14ac:dyDescent="0.3">
      <c r="A474" s="81"/>
      <c r="B474" s="82"/>
      <c r="C474" s="79"/>
      <c r="D474" s="79"/>
      <c r="E474" s="79"/>
      <c r="F474" s="79"/>
      <c r="G474" s="79"/>
      <c r="H474" s="79"/>
      <c r="I474" s="79"/>
      <c r="J474" s="74"/>
      <c r="K474" s="80"/>
      <c r="L474" s="64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spans="1:27" ht="15.65" x14ac:dyDescent="0.3">
      <c r="A475" s="81"/>
      <c r="B475" s="82"/>
      <c r="C475" s="79"/>
      <c r="D475" s="79"/>
      <c r="E475" s="79"/>
      <c r="F475" s="79"/>
      <c r="G475" s="79"/>
      <c r="H475" s="79"/>
      <c r="I475" s="79"/>
      <c r="J475" s="74"/>
      <c r="K475" s="80"/>
      <c r="L475" s="64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spans="1:27" ht="15.65" x14ac:dyDescent="0.3">
      <c r="A476" s="81"/>
      <c r="B476" s="82"/>
      <c r="C476" s="79"/>
      <c r="D476" s="79"/>
      <c r="E476" s="79"/>
      <c r="F476" s="79"/>
      <c r="G476" s="79"/>
      <c r="H476" s="79"/>
      <c r="I476" s="79"/>
      <c r="J476" s="74"/>
      <c r="K476" s="80"/>
      <c r="L476" s="64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spans="1:27" ht="15.65" x14ac:dyDescent="0.3">
      <c r="A477" s="81"/>
      <c r="B477" s="82"/>
      <c r="C477" s="79"/>
      <c r="D477" s="79"/>
      <c r="E477" s="79"/>
      <c r="F477" s="79"/>
      <c r="G477" s="79"/>
      <c r="H477" s="79"/>
      <c r="I477" s="79"/>
      <c r="J477" s="74"/>
      <c r="K477" s="80"/>
      <c r="L477" s="64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spans="1:27" ht="15.65" x14ac:dyDescent="0.3">
      <c r="A478" s="81"/>
      <c r="B478" s="82"/>
      <c r="C478" s="79"/>
      <c r="D478" s="79"/>
      <c r="E478" s="79"/>
      <c r="F478" s="79"/>
      <c r="G478" s="79"/>
      <c r="H478" s="79"/>
      <c r="I478" s="79"/>
      <c r="J478" s="74"/>
      <c r="K478" s="80"/>
      <c r="L478" s="64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spans="1:27" ht="15.65" x14ac:dyDescent="0.3">
      <c r="A479" s="81"/>
      <c r="B479" s="82"/>
      <c r="C479" s="79"/>
      <c r="D479" s="79"/>
      <c r="E479" s="79"/>
      <c r="F479" s="79"/>
      <c r="G479" s="79"/>
      <c r="H479" s="79"/>
      <c r="I479" s="79"/>
      <c r="J479" s="74"/>
      <c r="K479" s="80"/>
      <c r="L479" s="64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spans="1:27" ht="15.65" x14ac:dyDescent="0.3">
      <c r="A480" s="81"/>
      <c r="B480" s="82"/>
      <c r="C480" s="79"/>
      <c r="D480" s="79"/>
      <c r="E480" s="79"/>
      <c r="F480" s="79"/>
      <c r="G480" s="79"/>
      <c r="H480" s="79"/>
      <c r="I480" s="79"/>
      <c r="J480" s="74"/>
      <c r="K480" s="80"/>
      <c r="L480" s="64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spans="1:27" ht="15.65" x14ac:dyDescent="0.3">
      <c r="A481" s="81"/>
      <c r="B481" s="82"/>
      <c r="C481" s="79"/>
      <c r="D481" s="79"/>
      <c r="E481" s="79"/>
      <c r="F481" s="79"/>
      <c r="G481" s="79"/>
      <c r="H481" s="79"/>
      <c r="I481" s="79"/>
      <c r="J481" s="74"/>
      <c r="K481" s="80"/>
      <c r="L481" s="64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spans="1:27" ht="15.65" x14ac:dyDescent="0.3">
      <c r="A482" s="81"/>
      <c r="B482" s="82"/>
      <c r="C482" s="79"/>
      <c r="D482" s="79"/>
      <c r="E482" s="79"/>
      <c r="F482" s="79"/>
      <c r="G482" s="79"/>
      <c r="H482" s="79"/>
      <c r="I482" s="79"/>
      <c r="J482" s="74"/>
      <c r="K482" s="80"/>
      <c r="L482" s="64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spans="1:27" ht="15.65" x14ac:dyDescent="0.3">
      <c r="A483" s="81"/>
      <c r="B483" s="82"/>
      <c r="C483" s="79"/>
      <c r="D483" s="79"/>
      <c r="E483" s="79"/>
      <c r="F483" s="79"/>
      <c r="G483" s="79"/>
      <c r="H483" s="79"/>
      <c r="I483" s="79"/>
      <c r="J483" s="74"/>
      <c r="K483" s="80"/>
      <c r="L483" s="64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spans="1:27" ht="15.65" x14ac:dyDescent="0.3">
      <c r="A484" s="81"/>
      <c r="B484" s="82"/>
      <c r="C484" s="79"/>
      <c r="D484" s="79"/>
      <c r="E484" s="79"/>
      <c r="F484" s="79"/>
      <c r="G484" s="79"/>
      <c r="H484" s="79"/>
      <c r="I484" s="79"/>
      <c r="J484" s="74"/>
      <c r="K484" s="80"/>
      <c r="L484" s="64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spans="1:27" ht="15.65" x14ac:dyDescent="0.3">
      <c r="A485" s="81"/>
      <c r="B485" s="82"/>
      <c r="C485" s="79"/>
      <c r="D485" s="79"/>
      <c r="E485" s="79"/>
      <c r="F485" s="79"/>
      <c r="G485" s="79"/>
      <c r="H485" s="79"/>
      <c r="I485" s="79"/>
      <c r="J485" s="74"/>
      <c r="K485" s="80"/>
      <c r="L485" s="64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spans="1:27" ht="15.65" x14ac:dyDescent="0.3">
      <c r="A486" s="81"/>
      <c r="B486" s="82"/>
      <c r="C486" s="79"/>
      <c r="D486" s="79"/>
      <c r="E486" s="79"/>
      <c r="F486" s="79"/>
      <c r="G486" s="79"/>
      <c r="H486" s="79"/>
      <c r="I486" s="79"/>
      <c r="J486" s="74"/>
      <c r="K486" s="80"/>
      <c r="L486" s="64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spans="1:27" ht="15.65" x14ac:dyDescent="0.3">
      <c r="A487" s="81"/>
      <c r="B487" s="82"/>
      <c r="C487" s="79"/>
      <c r="D487" s="79"/>
      <c r="E487" s="79"/>
      <c r="F487" s="79"/>
      <c r="G487" s="79"/>
      <c r="H487" s="79"/>
      <c r="I487" s="79"/>
      <c r="J487" s="74"/>
      <c r="K487" s="80"/>
      <c r="L487" s="64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spans="1:27" ht="15.65" x14ac:dyDescent="0.3">
      <c r="A488" s="81"/>
      <c r="B488" s="82"/>
      <c r="C488" s="79"/>
      <c r="D488" s="79"/>
      <c r="E488" s="79"/>
      <c r="F488" s="79"/>
      <c r="G488" s="79"/>
      <c r="H488" s="79"/>
      <c r="I488" s="79"/>
      <c r="J488" s="74"/>
      <c r="K488" s="80"/>
      <c r="L488" s="64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spans="1:27" ht="15.65" x14ac:dyDescent="0.3">
      <c r="A489" s="81"/>
      <c r="B489" s="82"/>
      <c r="C489" s="79"/>
      <c r="D489" s="79"/>
      <c r="E489" s="79"/>
      <c r="F489" s="79"/>
      <c r="G489" s="79"/>
      <c r="H489" s="79"/>
      <c r="I489" s="79"/>
      <c r="J489" s="74"/>
      <c r="K489" s="80"/>
      <c r="L489" s="64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spans="1:27" ht="15.65" x14ac:dyDescent="0.3">
      <c r="A490" s="81"/>
      <c r="B490" s="82"/>
      <c r="C490" s="79"/>
      <c r="D490" s="79"/>
      <c r="E490" s="79"/>
      <c r="F490" s="79"/>
      <c r="G490" s="79"/>
      <c r="H490" s="79"/>
      <c r="I490" s="79"/>
      <c r="J490" s="74"/>
      <c r="K490" s="80"/>
      <c r="L490" s="64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spans="1:27" ht="15.65" x14ac:dyDescent="0.3">
      <c r="A491" s="81"/>
      <c r="B491" s="82"/>
      <c r="C491" s="79"/>
      <c r="D491" s="79"/>
      <c r="E491" s="79"/>
      <c r="F491" s="79"/>
      <c r="G491" s="79"/>
      <c r="H491" s="79"/>
      <c r="I491" s="79"/>
      <c r="J491" s="74"/>
      <c r="K491" s="80"/>
      <c r="L491" s="64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spans="1:27" ht="15.65" x14ac:dyDescent="0.3">
      <c r="A492" s="81"/>
      <c r="B492" s="82"/>
      <c r="C492" s="79"/>
      <c r="D492" s="79"/>
      <c r="E492" s="79"/>
      <c r="F492" s="79"/>
      <c r="G492" s="79"/>
      <c r="H492" s="79"/>
      <c r="I492" s="79"/>
      <c r="J492" s="74"/>
      <c r="K492" s="80"/>
      <c r="L492" s="64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spans="1:27" ht="15.65" x14ac:dyDescent="0.3">
      <c r="A493" s="81"/>
      <c r="B493" s="82"/>
      <c r="C493" s="79"/>
      <c r="D493" s="79"/>
      <c r="E493" s="79"/>
      <c r="F493" s="79"/>
      <c r="G493" s="79"/>
      <c r="H493" s="79"/>
      <c r="I493" s="79"/>
      <c r="J493" s="74"/>
      <c r="K493" s="80"/>
      <c r="L493" s="64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spans="1:27" ht="15.65" x14ac:dyDescent="0.3">
      <c r="A494" s="81"/>
      <c r="B494" s="82"/>
      <c r="C494" s="79"/>
      <c r="D494" s="79"/>
      <c r="E494" s="79"/>
      <c r="F494" s="79"/>
      <c r="G494" s="79"/>
      <c r="H494" s="79"/>
      <c r="I494" s="79"/>
      <c r="J494" s="74"/>
      <c r="K494" s="80"/>
      <c r="L494" s="64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spans="1:27" ht="15.65" x14ac:dyDescent="0.3">
      <c r="A495" s="81"/>
      <c r="B495" s="82"/>
      <c r="C495" s="79"/>
      <c r="D495" s="79"/>
      <c r="E495" s="79"/>
      <c r="F495" s="79"/>
      <c r="G495" s="79"/>
      <c r="H495" s="79"/>
      <c r="I495" s="79"/>
      <c r="J495" s="74"/>
      <c r="K495" s="80"/>
      <c r="L495" s="64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spans="1:27" ht="15.65" x14ac:dyDescent="0.3">
      <c r="A496" s="81"/>
      <c r="B496" s="82"/>
      <c r="C496" s="79"/>
      <c r="D496" s="79"/>
      <c r="E496" s="79"/>
      <c r="F496" s="79"/>
      <c r="G496" s="79"/>
      <c r="H496" s="79"/>
      <c r="I496" s="79"/>
      <c r="J496" s="74"/>
      <c r="K496" s="80"/>
      <c r="L496" s="64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spans="1:27" ht="15.65" x14ac:dyDescent="0.3">
      <c r="A497" s="81"/>
      <c r="B497" s="82"/>
      <c r="C497" s="79"/>
      <c r="D497" s="79"/>
      <c r="E497" s="79"/>
      <c r="F497" s="79"/>
      <c r="G497" s="79"/>
      <c r="H497" s="79"/>
      <c r="I497" s="79"/>
      <c r="J497" s="74"/>
      <c r="K497" s="80"/>
      <c r="L497" s="64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spans="1:27" ht="15.65" x14ac:dyDescent="0.3">
      <c r="A498" s="81"/>
      <c r="B498" s="82"/>
      <c r="C498" s="79"/>
      <c r="D498" s="79"/>
      <c r="E498" s="79"/>
      <c r="F498" s="79"/>
      <c r="G498" s="79"/>
      <c r="H498" s="79"/>
      <c r="I498" s="79"/>
      <c r="J498" s="74"/>
      <c r="K498" s="80"/>
      <c r="L498" s="64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spans="1:27" ht="15.65" x14ac:dyDescent="0.3">
      <c r="A499" s="81"/>
      <c r="B499" s="82"/>
      <c r="C499" s="79"/>
      <c r="D499" s="79"/>
      <c r="E499" s="79"/>
      <c r="F499" s="79"/>
      <c r="G499" s="79"/>
      <c r="H499" s="79"/>
      <c r="I499" s="79"/>
      <c r="J499" s="74"/>
      <c r="K499" s="80"/>
      <c r="L499" s="64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spans="1:27" ht="15.65" x14ac:dyDescent="0.3">
      <c r="A500" s="81"/>
      <c r="B500" s="82"/>
      <c r="C500" s="79"/>
      <c r="D500" s="79"/>
      <c r="E500" s="79"/>
      <c r="F500" s="79"/>
      <c r="G500" s="79"/>
      <c r="H500" s="79"/>
      <c r="I500" s="79"/>
      <c r="J500" s="74"/>
      <c r="K500" s="80"/>
      <c r="L500" s="64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spans="1:27" ht="15.65" x14ac:dyDescent="0.3">
      <c r="A501" s="81"/>
      <c r="B501" s="82"/>
      <c r="C501" s="79"/>
      <c r="D501" s="79"/>
      <c r="E501" s="79"/>
      <c r="F501" s="79"/>
      <c r="G501" s="79"/>
      <c r="H501" s="79"/>
      <c r="I501" s="79"/>
      <c r="J501" s="74"/>
      <c r="K501" s="80"/>
      <c r="L501" s="64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spans="1:27" ht="15.65" x14ac:dyDescent="0.3">
      <c r="A502" s="81"/>
      <c r="B502" s="82"/>
      <c r="C502" s="79"/>
      <c r="D502" s="79"/>
      <c r="E502" s="79"/>
      <c r="F502" s="79"/>
      <c r="G502" s="79"/>
      <c r="H502" s="79"/>
      <c r="I502" s="79"/>
      <c r="J502" s="74"/>
      <c r="K502" s="80"/>
      <c r="L502" s="64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spans="1:27" ht="15.65" x14ac:dyDescent="0.3">
      <c r="A503" s="81"/>
      <c r="B503" s="82"/>
      <c r="C503" s="79"/>
      <c r="D503" s="79"/>
      <c r="E503" s="79"/>
      <c r="F503" s="79"/>
      <c r="G503" s="79"/>
      <c r="H503" s="79"/>
      <c r="I503" s="79"/>
      <c r="J503" s="74"/>
      <c r="K503" s="80"/>
      <c r="L503" s="64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spans="1:27" ht="15.65" x14ac:dyDescent="0.3">
      <c r="A504" s="81"/>
      <c r="B504" s="82"/>
      <c r="C504" s="79"/>
      <c r="D504" s="79"/>
      <c r="E504" s="79"/>
      <c r="F504" s="79"/>
      <c r="G504" s="79"/>
      <c r="H504" s="79"/>
      <c r="I504" s="79"/>
      <c r="J504" s="74"/>
      <c r="K504" s="80"/>
      <c r="L504" s="64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spans="1:27" ht="15.65" x14ac:dyDescent="0.3">
      <c r="A505" s="81"/>
      <c r="B505" s="82"/>
      <c r="C505" s="79"/>
      <c r="D505" s="79"/>
      <c r="E505" s="79"/>
      <c r="F505" s="79"/>
      <c r="G505" s="79"/>
      <c r="H505" s="79"/>
      <c r="I505" s="79"/>
      <c r="J505" s="74"/>
      <c r="K505" s="80"/>
      <c r="L505" s="64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spans="1:27" ht="15.65" x14ac:dyDescent="0.3">
      <c r="A506" s="81"/>
      <c r="B506" s="82"/>
      <c r="C506" s="79"/>
      <c r="D506" s="79"/>
      <c r="E506" s="79"/>
      <c r="F506" s="79"/>
      <c r="G506" s="79"/>
      <c r="H506" s="79"/>
      <c r="I506" s="79"/>
      <c r="J506" s="74"/>
      <c r="K506" s="80"/>
      <c r="L506" s="64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spans="1:27" ht="15.65" x14ac:dyDescent="0.3">
      <c r="A507" s="81"/>
      <c r="B507" s="82"/>
      <c r="C507" s="79"/>
      <c r="D507" s="79"/>
      <c r="E507" s="79"/>
      <c r="F507" s="79"/>
      <c r="G507" s="79"/>
      <c r="H507" s="79"/>
      <c r="I507" s="79"/>
      <c r="J507" s="74"/>
      <c r="K507" s="80"/>
      <c r="L507" s="64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spans="1:27" ht="15.65" x14ac:dyDescent="0.3">
      <c r="A508" s="81"/>
      <c r="B508" s="82"/>
      <c r="C508" s="79"/>
      <c r="D508" s="79"/>
      <c r="E508" s="79"/>
      <c r="F508" s="79"/>
      <c r="G508" s="79"/>
      <c r="H508" s="79"/>
      <c r="I508" s="79"/>
      <c r="J508" s="74"/>
      <c r="K508" s="80"/>
      <c r="L508" s="64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spans="1:27" ht="15.65" x14ac:dyDescent="0.3">
      <c r="A509" s="81"/>
      <c r="B509" s="82"/>
      <c r="C509" s="79"/>
      <c r="D509" s="79"/>
      <c r="E509" s="79"/>
      <c r="F509" s="79"/>
      <c r="G509" s="79"/>
      <c r="H509" s="79"/>
      <c r="I509" s="79"/>
      <c r="J509" s="74"/>
      <c r="K509" s="80"/>
      <c r="L509" s="64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spans="1:27" ht="15.65" x14ac:dyDescent="0.3">
      <c r="A510" s="81"/>
      <c r="B510" s="82"/>
      <c r="C510" s="79"/>
      <c r="D510" s="79"/>
      <c r="E510" s="79"/>
      <c r="F510" s="79"/>
      <c r="G510" s="79"/>
      <c r="H510" s="79"/>
      <c r="I510" s="79"/>
      <c r="J510" s="74"/>
      <c r="K510" s="80"/>
      <c r="L510" s="64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spans="1:27" ht="15.65" x14ac:dyDescent="0.3">
      <c r="A511" s="81"/>
      <c r="B511" s="82"/>
      <c r="C511" s="79"/>
      <c r="D511" s="79"/>
      <c r="E511" s="79"/>
      <c r="F511" s="79"/>
      <c r="G511" s="79"/>
      <c r="H511" s="79"/>
      <c r="I511" s="79"/>
      <c r="J511" s="74"/>
      <c r="K511" s="80"/>
      <c r="L511" s="64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spans="1:27" ht="15.65" x14ac:dyDescent="0.3">
      <c r="A512" s="81"/>
      <c r="B512" s="82"/>
      <c r="C512" s="79"/>
      <c r="D512" s="79"/>
      <c r="E512" s="79"/>
      <c r="F512" s="79"/>
      <c r="G512" s="79"/>
      <c r="H512" s="79"/>
      <c r="I512" s="79"/>
      <c r="J512" s="74"/>
      <c r="K512" s="80"/>
      <c r="L512" s="64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spans="1:27" ht="15.65" x14ac:dyDescent="0.3">
      <c r="A513" s="81"/>
      <c r="B513" s="82"/>
      <c r="C513" s="79"/>
      <c r="D513" s="79"/>
      <c r="E513" s="79"/>
      <c r="F513" s="79"/>
      <c r="G513" s="79"/>
      <c r="H513" s="79"/>
      <c r="I513" s="79"/>
      <c r="J513" s="74"/>
      <c r="K513" s="80"/>
      <c r="L513" s="64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spans="1:27" ht="15.65" x14ac:dyDescent="0.3">
      <c r="A514" s="81"/>
      <c r="B514" s="82"/>
      <c r="C514" s="79"/>
      <c r="D514" s="79"/>
      <c r="E514" s="79"/>
      <c r="F514" s="79"/>
      <c r="G514" s="79"/>
      <c r="H514" s="79"/>
      <c r="I514" s="79"/>
      <c r="J514" s="74"/>
      <c r="K514" s="80"/>
      <c r="L514" s="64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spans="1:27" ht="15.65" x14ac:dyDescent="0.3">
      <c r="A515" s="81"/>
      <c r="B515" s="82"/>
      <c r="C515" s="79"/>
      <c r="D515" s="79"/>
      <c r="E515" s="79"/>
      <c r="F515" s="79"/>
      <c r="G515" s="79"/>
      <c r="H515" s="79"/>
      <c r="I515" s="79"/>
      <c r="J515" s="74"/>
      <c r="K515" s="80"/>
      <c r="L515" s="64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spans="1:27" ht="15.65" x14ac:dyDescent="0.3">
      <c r="A516" s="81"/>
      <c r="B516" s="82"/>
      <c r="C516" s="79"/>
      <c r="D516" s="79"/>
      <c r="E516" s="79"/>
      <c r="F516" s="79"/>
      <c r="G516" s="79"/>
      <c r="H516" s="79"/>
      <c r="I516" s="79"/>
      <c r="J516" s="74"/>
      <c r="K516" s="80"/>
      <c r="L516" s="64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spans="1:27" ht="15.65" x14ac:dyDescent="0.3">
      <c r="A517" s="81"/>
      <c r="B517" s="82"/>
      <c r="C517" s="79"/>
      <c r="D517" s="79"/>
      <c r="E517" s="79"/>
      <c r="F517" s="79"/>
      <c r="G517" s="79"/>
      <c r="H517" s="79"/>
      <c r="I517" s="79"/>
      <c r="J517" s="74"/>
      <c r="K517" s="80"/>
      <c r="L517" s="64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spans="1:27" ht="15.65" x14ac:dyDescent="0.3">
      <c r="A518" s="81"/>
      <c r="B518" s="82"/>
      <c r="C518" s="79"/>
      <c r="D518" s="79"/>
      <c r="E518" s="79"/>
      <c r="F518" s="79"/>
      <c r="G518" s="79"/>
      <c r="H518" s="79"/>
      <c r="I518" s="79"/>
      <c r="J518" s="74"/>
      <c r="K518" s="80"/>
      <c r="L518" s="64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spans="1:27" ht="15.65" x14ac:dyDescent="0.3">
      <c r="A519" s="81"/>
      <c r="B519" s="82"/>
      <c r="C519" s="79"/>
      <c r="D519" s="79"/>
      <c r="E519" s="79"/>
      <c r="F519" s="79"/>
      <c r="G519" s="79"/>
      <c r="H519" s="79"/>
      <c r="I519" s="79"/>
      <c r="J519" s="74"/>
      <c r="K519" s="80"/>
      <c r="L519" s="64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spans="1:27" ht="15.65" x14ac:dyDescent="0.3">
      <c r="A520" s="81"/>
      <c r="B520" s="82"/>
      <c r="C520" s="79"/>
      <c r="D520" s="79"/>
      <c r="E520" s="79"/>
      <c r="F520" s="79"/>
      <c r="G520" s="79"/>
      <c r="H520" s="79"/>
      <c r="I520" s="79"/>
      <c r="J520" s="74"/>
      <c r="K520" s="80"/>
      <c r="L520" s="64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spans="1:27" ht="15.65" x14ac:dyDescent="0.3">
      <c r="A521" s="81"/>
      <c r="B521" s="82"/>
      <c r="C521" s="79"/>
      <c r="D521" s="79"/>
      <c r="E521" s="79"/>
      <c r="F521" s="79"/>
      <c r="G521" s="79"/>
      <c r="H521" s="79"/>
      <c r="I521" s="79"/>
      <c r="J521" s="74"/>
      <c r="K521" s="80"/>
      <c r="L521" s="64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spans="1:27" ht="15.65" x14ac:dyDescent="0.3">
      <c r="A522" s="81"/>
      <c r="B522" s="82"/>
      <c r="C522" s="79"/>
      <c r="D522" s="79"/>
      <c r="E522" s="79"/>
      <c r="F522" s="79"/>
      <c r="G522" s="79"/>
      <c r="H522" s="79"/>
      <c r="I522" s="79"/>
      <c r="J522" s="74"/>
      <c r="K522" s="80"/>
      <c r="L522" s="64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spans="1:27" ht="15.65" x14ac:dyDescent="0.3">
      <c r="A523" s="81"/>
      <c r="B523" s="82"/>
      <c r="C523" s="79"/>
      <c r="D523" s="79"/>
      <c r="E523" s="79"/>
      <c r="F523" s="79"/>
      <c r="G523" s="79"/>
      <c r="H523" s="79"/>
      <c r="I523" s="79"/>
      <c r="J523" s="74"/>
      <c r="K523" s="80"/>
      <c r="L523" s="64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spans="1:27" ht="15.65" x14ac:dyDescent="0.3">
      <c r="A524" s="81"/>
      <c r="B524" s="82"/>
      <c r="C524" s="79"/>
      <c r="D524" s="79"/>
      <c r="E524" s="79"/>
      <c r="F524" s="79"/>
      <c r="G524" s="79"/>
      <c r="H524" s="79"/>
      <c r="I524" s="79"/>
      <c r="J524" s="74"/>
      <c r="K524" s="80"/>
      <c r="L524" s="64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spans="1:27" ht="15.65" x14ac:dyDescent="0.3">
      <c r="A525" s="81"/>
      <c r="B525" s="82"/>
      <c r="C525" s="79"/>
      <c r="D525" s="79"/>
      <c r="E525" s="79"/>
      <c r="F525" s="79"/>
      <c r="G525" s="79"/>
      <c r="H525" s="79"/>
      <c r="I525" s="79"/>
      <c r="J525" s="74"/>
      <c r="K525" s="80"/>
      <c r="L525" s="64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spans="1:27" ht="15.65" x14ac:dyDescent="0.3">
      <c r="A526" s="81"/>
      <c r="B526" s="82"/>
      <c r="C526" s="79"/>
      <c r="D526" s="79"/>
      <c r="E526" s="79"/>
      <c r="F526" s="79"/>
      <c r="G526" s="79"/>
      <c r="H526" s="79"/>
      <c r="I526" s="79"/>
      <c r="J526" s="74"/>
      <c r="K526" s="80"/>
      <c r="L526" s="64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spans="1:27" ht="15.65" x14ac:dyDescent="0.3">
      <c r="A527" s="81"/>
      <c r="B527" s="82"/>
      <c r="C527" s="79"/>
      <c r="D527" s="79"/>
      <c r="E527" s="79"/>
      <c r="F527" s="79"/>
      <c r="G527" s="79"/>
      <c r="H527" s="79"/>
      <c r="I527" s="79"/>
      <c r="J527" s="74"/>
      <c r="K527" s="80"/>
      <c r="L527" s="64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spans="1:27" ht="15.65" x14ac:dyDescent="0.3">
      <c r="A528" s="81"/>
      <c r="B528" s="82"/>
      <c r="C528" s="79"/>
      <c r="D528" s="79"/>
      <c r="E528" s="79"/>
      <c r="F528" s="79"/>
      <c r="G528" s="79"/>
      <c r="H528" s="79"/>
      <c r="I528" s="79"/>
      <c r="J528" s="74"/>
      <c r="K528" s="80"/>
      <c r="L528" s="64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spans="1:27" ht="15.65" x14ac:dyDescent="0.3">
      <c r="A529" s="81"/>
      <c r="B529" s="82"/>
      <c r="C529" s="79"/>
      <c r="D529" s="79"/>
      <c r="E529" s="79"/>
      <c r="F529" s="79"/>
      <c r="G529" s="79"/>
      <c r="H529" s="79"/>
      <c r="I529" s="79"/>
      <c r="J529" s="74"/>
      <c r="K529" s="80"/>
      <c r="L529" s="64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spans="1:27" ht="15.65" x14ac:dyDescent="0.3">
      <c r="A530" s="81"/>
      <c r="B530" s="82"/>
      <c r="C530" s="79"/>
      <c r="D530" s="79"/>
      <c r="E530" s="79"/>
      <c r="F530" s="79"/>
      <c r="G530" s="79"/>
      <c r="H530" s="79"/>
      <c r="I530" s="79"/>
      <c r="J530" s="74"/>
      <c r="K530" s="80"/>
      <c r="L530" s="64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spans="1:27" ht="15.65" x14ac:dyDescent="0.3">
      <c r="A531" s="81"/>
      <c r="B531" s="82"/>
      <c r="C531" s="79"/>
      <c r="D531" s="79"/>
      <c r="E531" s="79"/>
      <c r="F531" s="79"/>
      <c r="G531" s="79"/>
      <c r="H531" s="79"/>
      <c r="I531" s="79"/>
      <c r="J531" s="74"/>
      <c r="K531" s="80"/>
      <c r="L531" s="64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spans="1:27" ht="15.65" x14ac:dyDescent="0.3">
      <c r="A532" s="81"/>
      <c r="B532" s="82"/>
      <c r="C532" s="79"/>
      <c r="D532" s="79"/>
      <c r="E532" s="79"/>
      <c r="F532" s="79"/>
      <c r="G532" s="79"/>
      <c r="H532" s="79"/>
      <c r="I532" s="79"/>
      <c r="J532" s="74"/>
      <c r="K532" s="80"/>
      <c r="L532" s="64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spans="1:27" ht="15.65" x14ac:dyDescent="0.3">
      <c r="A533" s="81"/>
      <c r="B533" s="82"/>
      <c r="C533" s="79"/>
      <c r="D533" s="79"/>
      <c r="E533" s="79"/>
      <c r="F533" s="79"/>
      <c r="G533" s="79"/>
      <c r="H533" s="79"/>
      <c r="I533" s="79"/>
      <c r="J533" s="74"/>
      <c r="K533" s="80"/>
      <c r="L533" s="64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spans="1:27" ht="15.65" x14ac:dyDescent="0.3">
      <c r="A534" s="81"/>
      <c r="B534" s="82"/>
      <c r="C534" s="79"/>
      <c r="D534" s="79"/>
      <c r="E534" s="79"/>
      <c r="F534" s="79"/>
      <c r="G534" s="79"/>
      <c r="H534" s="79"/>
      <c r="I534" s="79"/>
      <c r="J534" s="74"/>
      <c r="K534" s="80"/>
      <c r="L534" s="64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spans="1:27" ht="15.65" x14ac:dyDescent="0.3">
      <c r="A535" s="81"/>
      <c r="B535" s="82"/>
      <c r="C535" s="79"/>
      <c r="D535" s="79"/>
      <c r="E535" s="79"/>
      <c r="F535" s="79"/>
      <c r="G535" s="79"/>
      <c r="H535" s="79"/>
      <c r="I535" s="79"/>
      <c r="J535" s="74"/>
      <c r="K535" s="80"/>
      <c r="L535" s="64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spans="1:27" ht="15.65" x14ac:dyDescent="0.3">
      <c r="A536" s="81"/>
      <c r="B536" s="82"/>
      <c r="C536" s="79"/>
      <c r="D536" s="79"/>
      <c r="E536" s="79"/>
      <c r="F536" s="79"/>
      <c r="G536" s="79"/>
      <c r="H536" s="79"/>
      <c r="I536" s="79"/>
      <c r="J536" s="74"/>
      <c r="K536" s="80"/>
      <c r="L536" s="64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spans="1:27" ht="15.65" x14ac:dyDescent="0.3">
      <c r="A537" s="81"/>
      <c r="B537" s="82"/>
      <c r="C537" s="79"/>
      <c r="D537" s="79"/>
      <c r="E537" s="79"/>
      <c r="F537" s="79"/>
      <c r="G537" s="79"/>
      <c r="H537" s="79"/>
      <c r="I537" s="79"/>
      <c r="J537" s="74"/>
      <c r="K537" s="80"/>
      <c r="L537" s="64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spans="1:27" ht="15.65" x14ac:dyDescent="0.3">
      <c r="A538" s="81"/>
      <c r="B538" s="82"/>
      <c r="C538" s="79"/>
      <c r="D538" s="79"/>
      <c r="E538" s="79"/>
      <c r="F538" s="79"/>
      <c r="G538" s="79"/>
      <c r="H538" s="79"/>
      <c r="I538" s="79"/>
      <c r="J538" s="74"/>
      <c r="K538" s="80"/>
      <c r="L538" s="64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spans="1:27" ht="15.65" x14ac:dyDescent="0.3">
      <c r="A539" s="81"/>
      <c r="B539" s="82"/>
      <c r="C539" s="79"/>
      <c r="D539" s="79"/>
      <c r="E539" s="79"/>
      <c r="F539" s="79"/>
      <c r="G539" s="79"/>
      <c r="H539" s="79"/>
      <c r="I539" s="79"/>
      <c r="J539" s="74"/>
      <c r="K539" s="80"/>
      <c r="L539" s="64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spans="1:27" ht="15.65" x14ac:dyDescent="0.3">
      <c r="A540" s="81"/>
      <c r="B540" s="82"/>
      <c r="C540" s="79"/>
      <c r="D540" s="79"/>
      <c r="E540" s="79"/>
      <c r="F540" s="79"/>
      <c r="G540" s="79"/>
      <c r="H540" s="79"/>
      <c r="I540" s="79"/>
      <c r="J540" s="74"/>
      <c r="K540" s="80"/>
      <c r="L540" s="64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spans="1:27" ht="15.65" x14ac:dyDescent="0.3">
      <c r="A541" s="81"/>
      <c r="B541" s="82"/>
      <c r="C541" s="79"/>
      <c r="D541" s="79"/>
      <c r="E541" s="79"/>
      <c r="F541" s="79"/>
      <c r="G541" s="79"/>
      <c r="H541" s="79"/>
      <c r="I541" s="79"/>
      <c r="J541" s="74"/>
      <c r="K541" s="80"/>
      <c r="L541" s="64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spans="1:27" ht="15.65" x14ac:dyDescent="0.3">
      <c r="A542" s="81"/>
      <c r="B542" s="82"/>
      <c r="C542" s="79"/>
      <c r="D542" s="79"/>
      <c r="E542" s="79"/>
      <c r="F542" s="79"/>
      <c r="G542" s="79"/>
      <c r="H542" s="79"/>
      <c r="I542" s="79"/>
      <c r="J542" s="74"/>
      <c r="K542" s="80"/>
      <c r="L542" s="64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spans="1:27" ht="15.65" x14ac:dyDescent="0.3">
      <c r="A543" s="81"/>
      <c r="B543" s="82"/>
      <c r="C543" s="79"/>
      <c r="D543" s="79"/>
      <c r="E543" s="79"/>
      <c r="F543" s="79"/>
      <c r="G543" s="79"/>
      <c r="H543" s="79"/>
      <c r="I543" s="79"/>
      <c r="J543" s="74"/>
      <c r="K543" s="80"/>
      <c r="L543" s="64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spans="1:27" ht="15.65" x14ac:dyDescent="0.3">
      <c r="A544" s="81"/>
      <c r="B544" s="82"/>
      <c r="C544" s="79"/>
      <c r="D544" s="79"/>
      <c r="E544" s="79"/>
      <c r="F544" s="79"/>
      <c r="G544" s="79"/>
      <c r="H544" s="79"/>
      <c r="I544" s="79"/>
      <c r="J544" s="74"/>
      <c r="K544" s="80"/>
      <c r="L544" s="64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spans="1:27" ht="15.65" x14ac:dyDescent="0.3">
      <c r="A545" s="81"/>
      <c r="B545" s="82"/>
      <c r="C545" s="79"/>
      <c r="D545" s="79"/>
      <c r="E545" s="79"/>
      <c r="F545" s="79"/>
      <c r="G545" s="79"/>
      <c r="H545" s="79"/>
      <c r="I545" s="79"/>
      <c r="J545" s="74"/>
      <c r="K545" s="80"/>
      <c r="L545" s="64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spans="1:27" ht="15.65" x14ac:dyDescent="0.3">
      <c r="A546" s="81"/>
      <c r="B546" s="82"/>
      <c r="C546" s="79"/>
      <c r="D546" s="79"/>
      <c r="E546" s="79"/>
      <c r="F546" s="79"/>
      <c r="G546" s="79"/>
      <c r="H546" s="79"/>
      <c r="I546" s="79"/>
      <c r="J546" s="74"/>
      <c r="K546" s="80"/>
      <c r="L546" s="64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spans="1:27" ht="15.65" x14ac:dyDescent="0.3">
      <c r="A547" s="81"/>
      <c r="B547" s="82"/>
      <c r="C547" s="79"/>
      <c r="D547" s="79"/>
      <c r="E547" s="79"/>
      <c r="F547" s="79"/>
      <c r="G547" s="79"/>
      <c r="H547" s="79"/>
      <c r="I547" s="79"/>
      <c r="J547" s="74"/>
      <c r="K547" s="80"/>
      <c r="L547" s="64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spans="1:27" ht="15.65" x14ac:dyDescent="0.3">
      <c r="A548" s="81"/>
      <c r="B548" s="82"/>
      <c r="C548" s="79"/>
      <c r="D548" s="79"/>
      <c r="E548" s="79"/>
      <c r="F548" s="79"/>
      <c r="G548" s="79"/>
      <c r="H548" s="79"/>
      <c r="I548" s="79"/>
      <c r="J548" s="74"/>
      <c r="K548" s="80"/>
      <c r="L548" s="64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spans="1:27" ht="15.65" x14ac:dyDescent="0.3">
      <c r="A549" s="81"/>
      <c r="B549" s="82"/>
      <c r="C549" s="79"/>
      <c r="D549" s="79"/>
      <c r="E549" s="79"/>
      <c r="F549" s="79"/>
      <c r="G549" s="79"/>
      <c r="H549" s="79"/>
      <c r="I549" s="79"/>
      <c r="J549" s="74"/>
      <c r="K549" s="80"/>
      <c r="L549" s="64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spans="1:27" ht="15.65" x14ac:dyDescent="0.3">
      <c r="A550" s="81"/>
      <c r="B550" s="82"/>
      <c r="C550" s="79"/>
      <c r="D550" s="79"/>
      <c r="E550" s="79"/>
      <c r="F550" s="79"/>
      <c r="G550" s="79"/>
      <c r="H550" s="79"/>
      <c r="I550" s="79"/>
      <c r="J550" s="74"/>
      <c r="K550" s="80"/>
      <c r="L550" s="64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spans="1:27" ht="15.65" x14ac:dyDescent="0.3">
      <c r="A551" s="81"/>
      <c r="B551" s="82"/>
      <c r="C551" s="79"/>
      <c r="D551" s="79"/>
      <c r="E551" s="79"/>
      <c r="F551" s="79"/>
      <c r="G551" s="79"/>
      <c r="H551" s="79"/>
      <c r="I551" s="79"/>
      <c r="J551" s="74"/>
      <c r="K551" s="80"/>
      <c r="L551" s="64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spans="1:27" ht="15.65" x14ac:dyDescent="0.3">
      <c r="A552" s="81"/>
      <c r="B552" s="82"/>
      <c r="C552" s="79"/>
      <c r="D552" s="79"/>
      <c r="E552" s="79"/>
      <c r="F552" s="79"/>
      <c r="G552" s="79"/>
      <c r="H552" s="79"/>
      <c r="I552" s="79"/>
      <c r="J552" s="74"/>
      <c r="K552" s="80"/>
      <c r="L552" s="64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spans="1:27" ht="15.65" x14ac:dyDescent="0.3">
      <c r="A553" s="81"/>
      <c r="B553" s="82"/>
      <c r="C553" s="79"/>
      <c r="D553" s="79"/>
      <c r="E553" s="79"/>
      <c r="F553" s="79"/>
      <c r="G553" s="79"/>
      <c r="H553" s="79"/>
      <c r="I553" s="79"/>
      <c r="J553" s="74"/>
      <c r="K553" s="80"/>
      <c r="L553" s="64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spans="1:27" ht="15.65" x14ac:dyDescent="0.3">
      <c r="A554" s="81"/>
      <c r="B554" s="82"/>
      <c r="C554" s="79"/>
      <c r="D554" s="79"/>
      <c r="E554" s="79"/>
      <c r="F554" s="79"/>
      <c r="G554" s="79"/>
      <c r="H554" s="79"/>
      <c r="I554" s="79"/>
      <c r="J554" s="74"/>
      <c r="K554" s="80"/>
      <c r="L554" s="64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spans="1:27" ht="15.65" x14ac:dyDescent="0.3">
      <c r="A555" s="81"/>
      <c r="B555" s="82"/>
      <c r="C555" s="79"/>
      <c r="D555" s="79"/>
      <c r="E555" s="79"/>
      <c r="F555" s="79"/>
      <c r="G555" s="79"/>
      <c r="H555" s="79"/>
      <c r="I555" s="79"/>
      <c r="J555" s="74"/>
      <c r="K555" s="80"/>
      <c r="L555" s="64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spans="1:27" ht="15.65" x14ac:dyDescent="0.3">
      <c r="A556" s="81"/>
      <c r="B556" s="82"/>
      <c r="C556" s="79"/>
      <c r="D556" s="79"/>
      <c r="E556" s="79"/>
      <c r="F556" s="79"/>
      <c r="G556" s="79"/>
      <c r="H556" s="79"/>
      <c r="I556" s="79"/>
      <c r="J556" s="74"/>
      <c r="K556" s="80"/>
      <c r="L556" s="64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spans="1:27" ht="15.65" x14ac:dyDescent="0.3">
      <c r="A557" s="81"/>
      <c r="B557" s="82"/>
      <c r="C557" s="79"/>
      <c r="D557" s="79"/>
      <c r="E557" s="79"/>
      <c r="F557" s="79"/>
      <c r="G557" s="79"/>
      <c r="H557" s="79"/>
      <c r="I557" s="79"/>
      <c r="J557" s="74"/>
      <c r="K557" s="80"/>
      <c r="L557" s="64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spans="1:27" ht="15.65" x14ac:dyDescent="0.3">
      <c r="A558" s="81"/>
      <c r="B558" s="82"/>
      <c r="C558" s="79"/>
      <c r="D558" s="79"/>
      <c r="E558" s="79"/>
      <c r="F558" s="79"/>
      <c r="G558" s="79"/>
      <c r="H558" s="79"/>
      <c r="I558" s="79"/>
      <c r="J558" s="74"/>
      <c r="K558" s="80"/>
      <c r="L558" s="64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spans="1:27" ht="15.65" x14ac:dyDescent="0.3">
      <c r="A559" s="81"/>
      <c r="B559" s="82"/>
      <c r="C559" s="79"/>
      <c r="D559" s="79"/>
      <c r="E559" s="79"/>
      <c r="F559" s="79"/>
      <c r="G559" s="79"/>
      <c r="H559" s="79"/>
      <c r="I559" s="79"/>
      <c r="J559" s="74"/>
      <c r="K559" s="80"/>
      <c r="L559" s="64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spans="1:27" ht="15.65" x14ac:dyDescent="0.3">
      <c r="A560" s="81"/>
      <c r="B560" s="82"/>
      <c r="C560" s="79"/>
      <c r="D560" s="79"/>
      <c r="E560" s="79"/>
      <c r="F560" s="79"/>
      <c r="G560" s="79"/>
      <c r="H560" s="79"/>
      <c r="I560" s="79"/>
      <c r="J560" s="74"/>
      <c r="K560" s="80"/>
      <c r="L560" s="64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spans="1:27" ht="15.65" x14ac:dyDescent="0.3">
      <c r="A561" s="81"/>
      <c r="B561" s="82"/>
      <c r="C561" s="79"/>
      <c r="D561" s="79"/>
      <c r="E561" s="79"/>
      <c r="F561" s="79"/>
      <c r="G561" s="79"/>
      <c r="H561" s="79"/>
      <c r="I561" s="79"/>
      <c r="J561" s="74"/>
      <c r="K561" s="80"/>
      <c r="L561" s="64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spans="1:27" ht="15.65" x14ac:dyDescent="0.3">
      <c r="A562" s="81"/>
      <c r="B562" s="82"/>
      <c r="C562" s="79"/>
      <c r="D562" s="79"/>
      <c r="E562" s="79"/>
      <c r="F562" s="79"/>
      <c r="G562" s="79"/>
      <c r="H562" s="79"/>
      <c r="I562" s="79"/>
      <c r="J562" s="74"/>
      <c r="K562" s="80"/>
      <c r="L562" s="64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spans="1:27" ht="15.65" x14ac:dyDescent="0.3">
      <c r="A563" s="81"/>
      <c r="B563" s="82"/>
      <c r="C563" s="79"/>
      <c r="D563" s="79"/>
      <c r="E563" s="79"/>
      <c r="F563" s="79"/>
      <c r="G563" s="79"/>
      <c r="H563" s="79"/>
      <c r="I563" s="79"/>
      <c r="J563" s="74"/>
      <c r="K563" s="80"/>
      <c r="L563" s="64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spans="1:27" ht="15.65" x14ac:dyDescent="0.3">
      <c r="A564" s="81"/>
      <c r="B564" s="82"/>
      <c r="C564" s="79"/>
      <c r="D564" s="79"/>
      <c r="E564" s="79"/>
      <c r="F564" s="79"/>
      <c r="G564" s="79"/>
      <c r="H564" s="79"/>
      <c r="I564" s="79"/>
      <c r="J564" s="74"/>
      <c r="K564" s="80"/>
      <c r="L564" s="64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spans="1:27" ht="15.65" x14ac:dyDescent="0.3">
      <c r="A565" s="81"/>
      <c r="B565" s="82"/>
      <c r="C565" s="79"/>
      <c r="D565" s="79"/>
      <c r="E565" s="79"/>
      <c r="F565" s="79"/>
      <c r="G565" s="79"/>
      <c r="H565" s="79"/>
      <c r="I565" s="79"/>
      <c r="J565" s="74"/>
      <c r="K565" s="80"/>
      <c r="L565" s="64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spans="1:27" ht="15.65" x14ac:dyDescent="0.3">
      <c r="A566" s="81"/>
      <c r="B566" s="82"/>
      <c r="C566" s="79"/>
      <c r="D566" s="79"/>
      <c r="E566" s="79"/>
      <c r="F566" s="79"/>
      <c r="G566" s="79"/>
      <c r="H566" s="79"/>
      <c r="I566" s="79"/>
      <c r="J566" s="74"/>
      <c r="K566" s="80"/>
      <c r="L566" s="64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spans="1:27" ht="15.65" x14ac:dyDescent="0.3">
      <c r="A567" s="81"/>
      <c r="B567" s="82"/>
      <c r="C567" s="79"/>
      <c r="D567" s="79"/>
      <c r="E567" s="79"/>
      <c r="F567" s="79"/>
      <c r="G567" s="79"/>
      <c r="H567" s="79"/>
      <c r="I567" s="79"/>
      <c r="J567" s="74"/>
      <c r="K567" s="80"/>
      <c r="L567" s="64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spans="1:27" ht="15.65" x14ac:dyDescent="0.3">
      <c r="A568" s="81"/>
      <c r="B568" s="82"/>
      <c r="C568" s="79"/>
      <c r="D568" s="79"/>
      <c r="E568" s="79"/>
      <c r="F568" s="79"/>
      <c r="G568" s="79"/>
      <c r="H568" s="79"/>
      <c r="I568" s="79"/>
      <c r="J568" s="74"/>
      <c r="K568" s="80"/>
      <c r="L568" s="64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spans="1:27" ht="15.65" x14ac:dyDescent="0.3">
      <c r="A569" s="81"/>
      <c r="B569" s="82"/>
      <c r="C569" s="79"/>
      <c r="D569" s="79"/>
      <c r="E569" s="79"/>
      <c r="F569" s="79"/>
      <c r="G569" s="79"/>
      <c r="H569" s="79"/>
      <c r="I569" s="79"/>
      <c r="J569" s="74"/>
      <c r="K569" s="80"/>
      <c r="L569" s="64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spans="1:27" ht="15.65" x14ac:dyDescent="0.3">
      <c r="A570" s="81"/>
      <c r="B570" s="82"/>
      <c r="C570" s="79"/>
      <c r="D570" s="79"/>
      <c r="E570" s="79"/>
      <c r="F570" s="79"/>
      <c r="G570" s="79"/>
      <c r="H570" s="79"/>
      <c r="I570" s="79"/>
      <c r="J570" s="74"/>
      <c r="K570" s="80"/>
      <c r="L570" s="64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spans="1:27" ht="15.65" x14ac:dyDescent="0.3">
      <c r="A571" s="81"/>
      <c r="B571" s="82"/>
      <c r="C571" s="79"/>
      <c r="D571" s="79"/>
      <c r="E571" s="79"/>
      <c r="F571" s="79"/>
      <c r="G571" s="79"/>
      <c r="H571" s="79"/>
      <c r="I571" s="79"/>
      <c r="J571" s="74"/>
      <c r="K571" s="80"/>
      <c r="L571" s="64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spans="1:27" ht="15.65" x14ac:dyDescent="0.3">
      <c r="A572" s="81"/>
      <c r="B572" s="82"/>
      <c r="C572" s="79"/>
      <c r="D572" s="79"/>
      <c r="E572" s="79"/>
      <c r="F572" s="79"/>
      <c r="G572" s="79"/>
      <c r="H572" s="79"/>
      <c r="I572" s="79"/>
      <c r="J572" s="74"/>
      <c r="K572" s="80"/>
      <c r="L572" s="64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spans="1:27" ht="15.65" x14ac:dyDescent="0.3">
      <c r="A573" s="81"/>
      <c r="B573" s="82"/>
      <c r="C573" s="79"/>
      <c r="D573" s="79"/>
      <c r="E573" s="79"/>
      <c r="F573" s="79"/>
      <c r="G573" s="79"/>
      <c r="H573" s="79"/>
      <c r="I573" s="79"/>
      <c r="J573" s="74"/>
      <c r="K573" s="80"/>
      <c r="L573" s="64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spans="1:27" ht="15.65" x14ac:dyDescent="0.3">
      <c r="A574" s="81"/>
      <c r="B574" s="82"/>
      <c r="C574" s="79"/>
      <c r="D574" s="79"/>
      <c r="E574" s="79"/>
      <c r="F574" s="79"/>
      <c r="G574" s="79"/>
      <c r="H574" s="79"/>
      <c r="I574" s="79"/>
      <c r="J574" s="74"/>
      <c r="K574" s="80"/>
      <c r="L574" s="64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spans="1:27" ht="15.65" x14ac:dyDescent="0.3">
      <c r="A575" s="81"/>
      <c r="B575" s="82"/>
      <c r="C575" s="79"/>
      <c r="D575" s="79"/>
      <c r="E575" s="79"/>
      <c r="F575" s="79"/>
      <c r="G575" s="79"/>
      <c r="H575" s="79"/>
      <c r="I575" s="79"/>
      <c r="J575" s="74"/>
      <c r="K575" s="80"/>
      <c r="L575" s="64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spans="1:27" ht="15.65" x14ac:dyDescent="0.3">
      <c r="A576" s="81"/>
      <c r="B576" s="82"/>
      <c r="C576" s="79"/>
      <c r="D576" s="79"/>
      <c r="E576" s="79"/>
      <c r="F576" s="79"/>
      <c r="G576" s="79"/>
      <c r="H576" s="79"/>
      <c r="I576" s="79"/>
      <c r="J576" s="74"/>
      <c r="K576" s="80"/>
      <c r="L576" s="64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spans="1:27" ht="15.65" x14ac:dyDescent="0.3">
      <c r="A577" s="81"/>
      <c r="B577" s="82"/>
      <c r="C577" s="79"/>
      <c r="D577" s="79"/>
      <c r="E577" s="79"/>
      <c r="F577" s="79"/>
      <c r="G577" s="79"/>
      <c r="H577" s="79"/>
      <c r="I577" s="79"/>
      <c r="J577" s="74"/>
      <c r="K577" s="80"/>
      <c r="L577" s="64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spans="1:27" ht="15.65" x14ac:dyDescent="0.3">
      <c r="A578" s="81"/>
      <c r="B578" s="82"/>
      <c r="C578" s="79"/>
      <c r="D578" s="79"/>
      <c r="E578" s="79"/>
      <c r="F578" s="79"/>
      <c r="G578" s="79"/>
      <c r="H578" s="79"/>
      <c r="I578" s="79"/>
      <c r="J578" s="74"/>
      <c r="K578" s="80"/>
      <c r="L578" s="64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spans="1:27" ht="15.65" x14ac:dyDescent="0.3">
      <c r="A579" s="81"/>
      <c r="B579" s="82"/>
      <c r="C579" s="79"/>
      <c r="D579" s="79"/>
      <c r="E579" s="79"/>
      <c r="F579" s="79"/>
      <c r="G579" s="79"/>
      <c r="H579" s="79"/>
      <c r="I579" s="79"/>
      <c r="J579" s="74"/>
      <c r="K579" s="80"/>
      <c r="L579" s="64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spans="1:27" ht="15.65" x14ac:dyDescent="0.3">
      <c r="A580" s="81"/>
      <c r="B580" s="82"/>
      <c r="C580" s="79"/>
      <c r="D580" s="79"/>
      <c r="E580" s="79"/>
      <c r="F580" s="79"/>
      <c r="G580" s="79"/>
      <c r="H580" s="79"/>
      <c r="I580" s="79"/>
      <c r="J580" s="74"/>
      <c r="K580" s="80"/>
      <c r="L580" s="64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spans="1:27" ht="15.65" x14ac:dyDescent="0.3">
      <c r="A581" s="81"/>
      <c r="B581" s="82"/>
      <c r="C581" s="79"/>
      <c r="D581" s="79"/>
      <c r="E581" s="79"/>
      <c r="F581" s="79"/>
      <c r="G581" s="79"/>
      <c r="H581" s="79"/>
      <c r="I581" s="79"/>
      <c r="J581" s="74"/>
      <c r="K581" s="80"/>
      <c r="L581" s="64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spans="1:27" ht="15.65" x14ac:dyDescent="0.3">
      <c r="A582" s="81"/>
      <c r="B582" s="82"/>
      <c r="C582" s="79"/>
      <c r="D582" s="79"/>
      <c r="E582" s="79"/>
      <c r="F582" s="79"/>
      <c r="G582" s="79"/>
      <c r="H582" s="79"/>
      <c r="I582" s="79"/>
      <c r="J582" s="74"/>
      <c r="K582" s="80"/>
      <c r="L582" s="64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spans="1:27" ht="15.65" x14ac:dyDescent="0.3">
      <c r="A583" s="81"/>
      <c r="B583" s="82"/>
      <c r="C583" s="79"/>
      <c r="D583" s="79"/>
      <c r="E583" s="79"/>
      <c r="F583" s="79"/>
      <c r="G583" s="79"/>
      <c r="H583" s="79"/>
      <c r="I583" s="79"/>
      <c r="J583" s="74"/>
      <c r="K583" s="80"/>
      <c r="L583" s="64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spans="1:27" ht="15.65" x14ac:dyDescent="0.3">
      <c r="A584" s="81"/>
      <c r="B584" s="82"/>
      <c r="C584" s="79"/>
      <c r="D584" s="79"/>
      <c r="E584" s="79"/>
      <c r="F584" s="79"/>
      <c r="G584" s="79"/>
      <c r="H584" s="79"/>
      <c r="I584" s="79"/>
      <c r="J584" s="74"/>
      <c r="K584" s="80"/>
      <c r="L584" s="64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spans="1:27" ht="15.65" x14ac:dyDescent="0.3">
      <c r="A585" s="81"/>
      <c r="B585" s="82"/>
      <c r="C585" s="79"/>
      <c r="D585" s="79"/>
      <c r="E585" s="79"/>
      <c r="F585" s="79"/>
      <c r="G585" s="79"/>
      <c r="H585" s="79"/>
      <c r="I585" s="79"/>
      <c r="J585" s="74"/>
      <c r="K585" s="80"/>
      <c r="L585" s="64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spans="1:27" ht="15.65" x14ac:dyDescent="0.3">
      <c r="A586" s="81"/>
      <c r="B586" s="82"/>
      <c r="C586" s="79"/>
      <c r="D586" s="79"/>
      <c r="E586" s="79"/>
      <c r="F586" s="79"/>
      <c r="G586" s="79"/>
      <c r="H586" s="79"/>
      <c r="I586" s="79"/>
      <c r="J586" s="74"/>
      <c r="K586" s="80"/>
      <c r="L586" s="64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spans="1:27" ht="15.65" x14ac:dyDescent="0.3">
      <c r="A587" s="81"/>
      <c r="B587" s="82"/>
      <c r="C587" s="79"/>
      <c r="D587" s="79"/>
      <c r="E587" s="79"/>
      <c r="F587" s="79"/>
      <c r="G587" s="79"/>
      <c r="H587" s="79"/>
      <c r="I587" s="79"/>
      <c r="J587" s="74"/>
      <c r="K587" s="80"/>
      <c r="L587" s="64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spans="1:27" ht="15.65" x14ac:dyDescent="0.3">
      <c r="A588" s="81"/>
      <c r="B588" s="82"/>
      <c r="C588" s="79"/>
      <c r="D588" s="79"/>
      <c r="E588" s="79"/>
      <c r="F588" s="79"/>
      <c r="G588" s="79"/>
      <c r="H588" s="79"/>
      <c r="I588" s="79"/>
      <c r="J588" s="74"/>
      <c r="K588" s="80"/>
      <c r="L588" s="64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spans="1:27" ht="15.65" x14ac:dyDescent="0.3">
      <c r="A589" s="81"/>
      <c r="B589" s="82"/>
      <c r="C589" s="79"/>
      <c r="D589" s="79"/>
      <c r="E589" s="79"/>
      <c r="F589" s="79"/>
      <c r="G589" s="79"/>
      <c r="H589" s="79"/>
      <c r="I589" s="79"/>
      <c r="J589" s="74"/>
      <c r="K589" s="80"/>
      <c r="L589" s="64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spans="1:27" ht="15.65" x14ac:dyDescent="0.3">
      <c r="A590" s="81"/>
      <c r="B590" s="82"/>
      <c r="C590" s="79"/>
      <c r="D590" s="79"/>
      <c r="E590" s="79"/>
      <c r="F590" s="79"/>
      <c r="G590" s="79"/>
      <c r="H590" s="79"/>
      <c r="I590" s="79"/>
      <c r="J590" s="74"/>
      <c r="K590" s="80"/>
      <c r="L590" s="64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spans="1:27" ht="15.65" x14ac:dyDescent="0.3">
      <c r="A591" s="81"/>
      <c r="B591" s="82"/>
      <c r="C591" s="79"/>
      <c r="D591" s="79"/>
      <c r="E591" s="79"/>
      <c r="F591" s="79"/>
      <c r="G591" s="79"/>
      <c r="H591" s="79"/>
      <c r="I591" s="79"/>
      <c r="J591" s="74"/>
      <c r="K591" s="80"/>
      <c r="L591" s="64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spans="1:27" ht="15.65" x14ac:dyDescent="0.3">
      <c r="A592" s="81"/>
      <c r="B592" s="82"/>
      <c r="C592" s="79"/>
      <c r="D592" s="79"/>
      <c r="E592" s="79"/>
      <c r="F592" s="79"/>
      <c r="G592" s="79"/>
      <c r="H592" s="79"/>
      <c r="I592" s="79"/>
      <c r="J592" s="74"/>
      <c r="K592" s="80"/>
      <c r="L592" s="64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spans="1:27" ht="15.65" x14ac:dyDescent="0.3">
      <c r="A593" s="81"/>
      <c r="B593" s="82"/>
      <c r="C593" s="79"/>
      <c r="D593" s="79"/>
      <c r="E593" s="79"/>
      <c r="F593" s="79"/>
      <c r="G593" s="79"/>
      <c r="H593" s="79"/>
      <c r="I593" s="79"/>
      <c r="J593" s="74"/>
      <c r="K593" s="80"/>
      <c r="L593" s="64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spans="1:27" ht="15.65" x14ac:dyDescent="0.3">
      <c r="A594" s="81"/>
      <c r="B594" s="82"/>
      <c r="C594" s="79"/>
      <c r="D594" s="79"/>
      <c r="E594" s="79"/>
      <c r="F594" s="79"/>
      <c r="G594" s="79"/>
      <c r="H594" s="79"/>
      <c r="I594" s="79"/>
      <c r="J594" s="74"/>
      <c r="K594" s="80"/>
      <c r="L594" s="64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spans="1:27" ht="15.65" x14ac:dyDescent="0.3">
      <c r="A595" s="81"/>
      <c r="B595" s="82"/>
      <c r="C595" s="79"/>
      <c r="D595" s="79"/>
      <c r="E595" s="79"/>
      <c r="F595" s="79"/>
      <c r="G595" s="79"/>
      <c r="H595" s="79"/>
      <c r="I595" s="79"/>
      <c r="J595" s="74"/>
      <c r="K595" s="80"/>
      <c r="L595" s="64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spans="1:27" ht="15.65" x14ac:dyDescent="0.3">
      <c r="A596" s="81"/>
      <c r="B596" s="82"/>
      <c r="C596" s="79"/>
      <c r="D596" s="79"/>
      <c r="E596" s="79"/>
      <c r="F596" s="79"/>
      <c r="G596" s="79"/>
      <c r="H596" s="79"/>
      <c r="I596" s="79"/>
      <c r="J596" s="74"/>
      <c r="K596" s="80"/>
      <c r="L596" s="64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spans="1:27" ht="15.65" x14ac:dyDescent="0.3">
      <c r="A597" s="81"/>
      <c r="B597" s="82"/>
      <c r="C597" s="79"/>
      <c r="D597" s="79"/>
      <c r="E597" s="79"/>
      <c r="F597" s="79"/>
      <c r="G597" s="79"/>
      <c r="H597" s="79"/>
      <c r="I597" s="79"/>
      <c r="J597" s="74"/>
      <c r="K597" s="80"/>
      <c r="L597" s="64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spans="1:27" ht="15.65" x14ac:dyDescent="0.3">
      <c r="A598" s="81"/>
      <c r="B598" s="82"/>
      <c r="C598" s="79"/>
      <c r="D598" s="79"/>
      <c r="E598" s="79"/>
      <c r="F598" s="79"/>
      <c r="G598" s="79"/>
      <c r="H598" s="79"/>
      <c r="I598" s="79"/>
      <c r="J598" s="74"/>
      <c r="K598" s="80"/>
      <c r="L598" s="64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spans="1:27" ht="15.65" x14ac:dyDescent="0.3">
      <c r="A599" s="81"/>
      <c r="B599" s="82"/>
      <c r="C599" s="79"/>
      <c r="D599" s="79"/>
      <c r="E599" s="79"/>
      <c r="F599" s="79"/>
      <c r="G599" s="79"/>
      <c r="H599" s="79"/>
      <c r="I599" s="79"/>
      <c r="J599" s="74"/>
      <c r="K599" s="80"/>
      <c r="L599" s="64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spans="1:27" ht="15.65" x14ac:dyDescent="0.3">
      <c r="A600" s="81"/>
      <c r="B600" s="82"/>
      <c r="C600" s="79"/>
      <c r="D600" s="79"/>
      <c r="E600" s="79"/>
      <c r="F600" s="79"/>
      <c r="G600" s="79"/>
      <c r="H600" s="79"/>
      <c r="I600" s="79"/>
      <c r="J600" s="74"/>
      <c r="K600" s="80"/>
      <c r="L600" s="64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spans="1:27" ht="15.65" x14ac:dyDescent="0.3">
      <c r="A601" s="81"/>
      <c r="B601" s="82"/>
      <c r="C601" s="79"/>
      <c r="D601" s="79"/>
      <c r="E601" s="79"/>
      <c r="F601" s="79"/>
      <c r="G601" s="79"/>
      <c r="H601" s="79"/>
      <c r="I601" s="79"/>
      <c r="J601" s="74"/>
      <c r="K601" s="80"/>
      <c r="L601" s="64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spans="1:27" ht="15.65" x14ac:dyDescent="0.3">
      <c r="A602" s="81"/>
      <c r="B602" s="82"/>
      <c r="C602" s="79"/>
      <c r="D602" s="79"/>
      <c r="E602" s="79"/>
      <c r="F602" s="79"/>
      <c r="G602" s="79"/>
      <c r="H602" s="79"/>
      <c r="I602" s="79"/>
      <c r="J602" s="74"/>
      <c r="K602" s="80"/>
      <c r="L602" s="64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spans="1:27" ht="15.65" x14ac:dyDescent="0.3">
      <c r="A603" s="81"/>
      <c r="B603" s="82"/>
      <c r="C603" s="79"/>
      <c r="D603" s="79"/>
      <c r="E603" s="79"/>
      <c r="F603" s="79"/>
      <c r="G603" s="79"/>
      <c r="H603" s="79"/>
      <c r="I603" s="79"/>
      <c r="J603" s="74"/>
      <c r="K603" s="80"/>
      <c r="L603" s="64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spans="1:27" ht="15.65" x14ac:dyDescent="0.3">
      <c r="A604" s="81"/>
      <c r="B604" s="82"/>
      <c r="C604" s="79"/>
      <c r="D604" s="79"/>
      <c r="E604" s="79"/>
      <c r="F604" s="79"/>
      <c r="G604" s="79"/>
      <c r="H604" s="79"/>
      <c r="I604" s="79"/>
      <c r="J604" s="74"/>
      <c r="K604" s="80"/>
      <c r="L604" s="64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spans="1:27" ht="15.65" x14ac:dyDescent="0.3">
      <c r="A605" s="81"/>
      <c r="B605" s="82"/>
      <c r="C605" s="79"/>
      <c r="D605" s="79"/>
      <c r="E605" s="79"/>
      <c r="F605" s="79"/>
      <c r="G605" s="79"/>
      <c r="H605" s="79"/>
      <c r="I605" s="79"/>
      <c r="J605" s="74"/>
      <c r="K605" s="80"/>
      <c r="L605" s="64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spans="1:27" ht="15.65" x14ac:dyDescent="0.3">
      <c r="A606" s="81"/>
      <c r="B606" s="82"/>
      <c r="C606" s="79"/>
      <c r="D606" s="79"/>
      <c r="E606" s="79"/>
      <c r="F606" s="79"/>
      <c r="G606" s="79"/>
      <c r="H606" s="79"/>
      <c r="I606" s="79"/>
      <c r="J606" s="74"/>
      <c r="K606" s="80"/>
      <c r="L606" s="64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spans="1:27" ht="15.65" x14ac:dyDescent="0.3">
      <c r="A607" s="81"/>
      <c r="B607" s="82"/>
      <c r="C607" s="79"/>
      <c r="D607" s="79"/>
      <c r="E607" s="79"/>
      <c r="F607" s="79"/>
      <c r="G607" s="79"/>
      <c r="H607" s="79"/>
      <c r="I607" s="79"/>
      <c r="J607" s="74"/>
      <c r="K607" s="80"/>
      <c r="L607" s="64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spans="1:27" ht="15.65" x14ac:dyDescent="0.3">
      <c r="A608" s="81"/>
      <c r="B608" s="82"/>
      <c r="C608" s="79"/>
      <c r="D608" s="79"/>
      <c r="E608" s="79"/>
      <c r="F608" s="79"/>
      <c r="G608" s="79"/>
      <c r="H608" s="79"/>
      <c r="I608" s="79"/>
      <c r="J608" s="74"/>
      <c r="K608" s="80"/>
      <c r="L608" s="64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spans="1:27" ht="15.65" x14ac:dyDescent="0.3">
      <c r="A609" s="81"/>
      <c r="B609" s="82"/>
      <c r="C609" s="79"/>
      <c r="D609" s="79"/>
      <c r="E609" s="79"/>
      <c r="F609" s="79"/>
      <c r="G609" s="79"/>
      <c r="H609" s="79"/>
      <c r="I609" s="79"/>
      <c r="J609" s="74"/>
      <c r="K609" s="80"/>
      <c r="L609" s="64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spans="1:27" ht="15.65" x14ac:dyDescent="0.3">
      <c r="A610" s="81"/>
      <c r="B610" s="82"/>
      <c r="C610" s="79"/>
      <c r="D610" s="79"/>
      <c r="E610" s="79"/>
      <c r="F610" s="79"/>
      <c r="G610" s="79"/>
      <c r="H610" s="79"/>
      <c r="I610" s="79"/>
      <c r="J610" s="74"/>
      <c r="K610" s="80"/>
      <c r="L610" s="64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spans="1:27" ht="15.65" x14ac:dyDescent="0.3">
      <c r="A611" s="81"/>
      <c r="B611" s="82"/>
      <c r="C611" s="79"/>
      <c r="D611" s="79"/>
      <c r="E611" s="79"/>
      <c r="F611" s="79"/>
      <c r="G611" s="79"/>
      <c r="H611" s="79"/>
      <c r="I611" s="79"/>
      <c r="J611" s="74"/>
      <c r="K611" s="80"/>
      <c r="L611" s="64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spans="1:27" ht="15.65" x14ac:dyDescent="0.3">
      <c r="A612" s="81"/>
      <c r="B612" s="82"/>
      <c r="C612" s="79"/>
      <c r="D612" s="79"/>
      <c r="E612" s="79"/>
      <c r="F612" s="79"/>
      <c r="G612" s="79"/>
      <c r="H612" s="79"/>
      <c r="I612" s="79"/>
      <c r="J612" s="74"/>
      <c r="K612" s="80"/>
      <c r="L612" s="64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spans="1:27" ht="15.65" x14ac:dyDescent="0.3">
      <c r="A613" s="81"/>
      <c r="B613" s="82"/>
      <c r="C613" s="79"/>
      <c r="D613" s="79"/>
      <c r="E613" s="79"/>
      <c r="F613" s="79"/>
      <c r="G613" s="79"/>
      <c r="H613" s="79"/>
      <c r="I613" s="79"/>
      <c r="J613" s="74"/>
      <c r="K613" s="80"/>
      <c r="L613" s="64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spans="1:27" ht="15.65" x14ac:dyDescent="0.3">
      <c r="A614" s="81"/>
      <c r="B614" s="82"/>
      <c r="C614" s="79"/>
      <c r="D614" s="79"/>
      <c r="E614" s="79"/>
      <c r="F614" s="79"/>
      <c r="G614" s="79"/>
      <c r="H614" s="79"/>
      <c r="I614" s="79"/>
      <c r="J614" s="74"/>
      <c r="K614" s="80"/>
      <c r="L614" s="64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spans="1:27" ht="15.65" x14ac:dyDescent="0.3">
      <c r="A615" s="81"/>
      <c r="B615" s="82"/>
      <c r="C615" s="79"/>
      <c r="D615" s="79"/>
      <c r="E615" s="79"/>
      <c r="F615" s="79"/>
      <c r="G615" s="79"/>
      <c r="H615" s="79"/>
      <c r="I615" s="79"/>
      <c r="J615" s="74"/>
      <c r="K615" s="80"/>
      <c r="L615" s="64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spans="1:27" ht="15.65" x14ac:dyDescent="0.3">
      <c r="A616" s="81"/>
      <c r="B616" s="82"/>
      <c r="C616" s="79"/>
      <c r="D616" s="79"/>
      <c r="E616" s="79"/>
      <c r="F616" s="79"/>
      <c r="G616" s="79"/>
      <c r="H616" s="79"/>
      <c r="I616" s="79"/>
      <c r="J616" s="74"/>
      <c r="K616" s="80"/>
      <c r="L616" s="64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spans="1:27" ht="15.65" x14ac:dyDescent="0.3">
      <c r="A617" s="81"/>
      <c r="B617" s="82"/>
      <c r="C617" s="79"/>
      <c r="D617" s="79"/>
      <c r="E617" s="79"/>
      <c r="F617" s="79"/>
      <c r="G617" s="79"/>
      <c r="H617" s="79"/>
      <c r="I617" s="79"/>
      <c r="J617" s="74"/>
      <c r="K617" s="80"/>
      <c r="L617" s="64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spans="1:27" ht="15.65" x14ac:dyDescent="0.3">
      <c r="A618" s="81"/>
      <c r="B618" s="82"/>
      <c r="C618" s="79"/>
      <c r="D618" s="79"/>
      <c r="E618" s="79"/>
      <c r="F618" s="79"/>
      <c r="G618" s="79"/>
      <c r="H618" s="79"/>
      <c r="I618" s="79"/>
      <c r="J618" s="74"/>
      <c r="K618" s="80"/>
      <c r="L618" s="64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spans="1:27" ht="15.65" x14ac:dyDescent="0.3">
      <c r="A619" s="81"/>
      <c r="B619" s="82"/>
      <c r="C619" s="79"/>
      <c r="D619" s="79"/>
      <c r="E619" s="79"/>
      <c r="F619" s="79"/>
      <c r="G619" s="79"/>
      <c r="H619" s="79"/>
      <c r="I619" s="79"/>
      <c r="J619" s="74"/>
      <c r="K619" s="80"/>
      <c r="L619" s="64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spans="1:27" ht="15.65" x14ac:dyDescent="0.3">
      <c r="A620" s="81"/>
      <c r="B620" s="82"/>
      <c r="C620" s="79"/>
      <c r="D620" s="79"/>
      <c r="E620" s="79"/>
      <c r="F620" s="79"/>
      <c r="G620" s="79"/>
      <c r="H620" s="79"/>
      <c r="I620" s="79"/>
      <c r="J620" s="74"/>
      <c r="K620" s="80"/>
      <c r="L620" s="64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spans="1:27" ht="15.65" x14ac:dyDescent="0.3">
      <c r="A621" s="81"/>
      <c r="B621" s="82"/>
      <c r="C621" s="79"/>
      <c r="D621" s="79"/>
      <c r="E621" s="79"/>
      <c r="F621" s="79"/>
      <c r="G621" s="79"/>
      <c r="H621" s="79"/>
      <c r="I621" s="79"/>
      <c r="J621" s="74"/>
      <c r="K621" s="80"/>
      <c r="L621" s="64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spans="1:27" ht="15.65" x14ac:dyDescent="0.3">
      <c r="A622" s="81"/>
      <c r="B622" s="82"/>
      <c r="C622" s="79"/>
      <c r="D622" s="79"/>
      <c r="E622" s="79"/>
      <c r="F622" s="79"/>
      <c r="G622" s="79"/>
      <c r="H622" s="79"/>
      <c r="I622" s="79"/>
      <c r="J622" s="74"/>
      <c r="K622" s="80"/>
      <c r="L622" s="64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spans="1:27" ht="15.65" x14ac:dyDescent="0.3">
      <c r="A623" s="81"/>
      <c r="B623" s="82"/>
      <c r="C623" s="79"/>
      <c r="D623" s="79"/>
      <c r="E623" s="79"/>
      <c r="F623" s="79"/>
      <c r="G623" s="79"/>
      <c r="H623" s="79"/>
      <c r="I623" s="79"/>
      <c r="J623" s="74"/>
      <c r="K623" s="80"/>
      <c r="L623" s="64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spans="1:27" ht="15.65" x14ac:dyDescent="0.3">
      <c r="A624" s="81"/>
      <c r="B624" s="82"/>
      <c r="C624" s="79"/>
      <c r="D624" s="79"/>
      <c r="E624" s="79"/>
      <c r="F624" s="79"/>
      <c r="G624" s="79"/>
      <c r="H624" s="79"/>
      <c r="I624" s="79"/>
      <c r="J624" s="74"/>
      <c r="K624" s="80"/>
      <c r="L624" s="64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spans="1:27" ht="15.65" x14ac:dyDescent="0.3">
      <c r="A625" s="81"/>
      <c r="B625" s="82"/>
      <c r="C625" s="79"/>
      <c r="D625" s="79"/>
      <c r="E625" s="79"/>
      <c r="F625" s="79"/>
      <c r="G625" s="79"/>
      <c r="H625" s="79"/>
      <c r="I625" s="79"/>
      <c r="J625" s="74"/>
      <c r="K625" s="80"/>
      <c r="L625" s="64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spans="1:27" ht="15.65" x14ac:dyDescent="0.3">
      <c r="A626" s="81"/>
      <c r="B626" s="82"/>
      <c r="C626" s="79"/>
      <c r="D626" s="79"/>
      <c r="E626" s="79"/>
      <c r="F626" s="79"/>
      <c r="G626" s="79"/>
      <c r="H626" s="79"/>
      <c r="I626" s="79"/>
      <c r="J626" s="74"/>
      <c r="K626" s="80"/>
      <c r="L626" s="64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spans="1:27" ht="15.65" x14ac:dyDescent="0.3">
      <c r="A627" s="81"/>
      <c r="B627" s="82"/>
      <c r="C627" s="79"/>
      <c r="D627" s="79"/>
      <c r="E627" s="79"/>
      <c r="F627" s="79"/>
      <c r="G627" s="79"/>
      <c r="H627" s="79"/>
      <c r="I627" s="79"/>
      <c r="J627" s="74"/>
      <c r="K627" s="80"/>
      <c r="L627" s="64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spans="1:27" ht="15.65" x14ac:dyDescent="0.3">
      <c r="A628" s="81"/>
      <c r="B628" s="82"/>
      <c r="C628" s="79"/>
      <c r="D628" s="79"/>
      <c r="E628" s="79"/>
      <c r="F628" s="79"/>
      <c r="G628" s="79"/>
      <c r="H628" s="79"/>
      <c r="I628" s="79"/>
      <c r="J628" s="74"/>
      <c r="K628" s="80"/>
      <c r="L628" s="64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spans="1:27" ht="15.65" x14ac:dyDescent="0.3">
      <c r="A629" s="81"/>
      <c r="B629" s="82"/>
      <c r="C629" s="79"/>
      <c r="D629" s="79"/>
      <c r="E629" s="79"/>
      <c r="F629" s="79"/>
      <c r="G629" s="79"/>
      <c r="H629" s="79"/>
      <c r="I629" s="79"/>
      <c r="J629" s="74"/>
      <c r="K629" s="80"/>
      <c r="L629" s="64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spans="1:27" ht="15.65" x14ac:dyDescent="0.3">
      <c r="A630" s="81"/>
      <c r="B630" s="82"/>
      <c r="C630" s="79"/>
      <c r="D630" s="79"/>
      <c r="E630" s="79"/>
      <c r="F630" s="79"/>
      <c r="G630" s="79"/>
      <c r="H630" s="79"/>
      <c r="I630" s="79"/>
      <c r="J630" s="74"/>
      <c r="K630" s="80"/>
      <c r="L630" s="64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spans="1:27" ht="15.65" x14ac:dyDescent="0.3">
      <c r="A631" s="81"/>
      <c r="B631" s="82"/>
      <c r="C631" s="79"/>
      <c r="D631" s="79"/>
      <c r="E631" s="79"/>
      <c r="F631" s="79"/>
      <c r="G631" s="79"/>
      <c r="H631" s="79"/>
      <c r="I631" s="79"/>
      <c r="J631" s="74"/>
      <c r="K631" s="80"/>
      <c r="L631" s="64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spans="1:27" ht="15.65" x14ac:dyDescent="0.3">
      <c r="A632" s="81"/>
      <c r="B632" s="82"/>
      <c r="C632" s="79"/>
      <c r="D632" s="79"/>
      <c r="E632" s="79"/>
      <c r="F632" s="79"/>
      <c r="G632" s="79"/>
      <c r="H632" s="79"/>
      <c r="I632" s="79"/>
      <c r="J632" s="74"/>
      <c r="K632" s="80"/>
      <c r="L632" s="64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spans="1:27" ht="15.65" x14ac:dyDescent="0.3">
      <c r="A633" s="81"/>
      <c r="B633" s="82"/>
      <c r="C633" s="79"/>
      <c r="D633" s="79"/>
      <c r="E633" s="79"/>
      <c r="F633" s="79"/>
      <c r="G633" s="79"/>
      <c r="H633" s="79"/>
      <c r="I633" s="79"/>
      <c r="J633" s="74"/>
      <c r="K633" s="80"/>
      <c r="L633" s="64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spans="1:27" ht="15.65" x14ac:dyDescent="0.3">
      <c r="A634" s="81"/>
      <c r="B634" s="82"/>
      <c r="C634" s="79"/>
      <c r="D634" s="79"/>
      <c r="E634" s="79"/>
      <c r="F634" s="79"/>
      <c r="G634" s="79"/>
      <c r="H634" s="79"/>
      <c r="I634" s="79"/>
      <c r="J634" s="74"/>
      <c r="K634" s="80"/>
      <c r="L634" s="64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spans="1:27" ht="15.65" x14ac:dyDescent="0.3">
      <c r="A635" s="81"/>
      <c r="B635" s="82"/>
      <c r="C635" s="79"/>
      <c r="D635" s="79"/>
      <c r="E635" s="79"/>
      <c r="F635" s="79"/>
      <c r="G635" s="79"/>
      <c r="H635" s="79"/>
      <c r="I635" s="79"/>
      <c r="J635" s="74"/>
      <c r="K635" s="80"/>
      <c r="L635" s="64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spans="1:27" ht="15.65" x14ac:dyDescent="0.3">
      <c r="A636" s="81"/>
      <c r="B636" s="82"/>
      <c r="C636" s="79"/>
      <c r="D636" s="79"/>
      <c r="E636" s="79"/>
      <c r="F636" s="79"/>
      <c r="G636" s="79"/>
      <c r="H636" s="79"/>
      <c r="I636" s="79"/>
      <c r="J636" s="74"/>
      <c r="K636" s="80"/>
      <c r="L636" s="64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spans="1:27" ht="15.65" x14ac:dyDescent="0.3">
      <c r="A637" s="81"/>
      <c r="B637" s="82"/>
      <c r="C637" s="79"/>
      <c r="D637" s="79"/>
      <c r="E637" s="79"/>
      <c r="F637" s="79"/>
      <c r="G637" s="79"/>
      <c r="H637" s="79"/>
      <c r="I637" s="79"/>
      <c r="J637" s="74"/>
      <c r="K637" s="80"/>
      <c r="L637" s="64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spans="1:27" ht="15.65" x14ac:dyDescent="0.3">
      <c r="A638" s="81"/>
      <c r="B638" s="82"/>
      <c r="C638" s="79"/>
      <c r="D638" s="79"/>
      <c r="E638" s="79"/>
      <c r="F638" s="79"/>
      <c r="G638" s="79"/>
      <c r="H638" s="79"/>
      <c r="I638" s="79"/>
      <c r="J638" s="74"/>
      <c r="K638" s="80"/>
      <c r="L638" s="64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spans="1:27" ht="15.65" x14ac:dyDescent="0.3">
      <c r="A639" s="81"/>
      <c r="B639" s="82"/>
      <c r="C639" s="79"/>
      <c r="D639" s="79"/>
      <c r="E639" s="79"/>
      <c r="F639" s="79"/>
      <c r="G639" s="79"/>
      <c r="H639" s="79"/>
      <c r="I639" s="79"/>
      <c r="J639" s="74"/>
      <c r="K639" s="80"/>
      <c r="L639" s="64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spans="1:27" ht="15.65" x14ac:dyDescent="0.3">
      <c r="A640" s="81"/>
      <c r="B640" s="82"/>
      <c r="C640" s="79"/>
      <c r="D640" s="79"/>
      <c r="E640" s="79"/>
      <c r="F640" s="79"/>
      <c r="G640" s="79"/>
      <c r="H640" s="79"/>
      <c r="I640" s="79"/>
      <c r="J640" s="74"/>
      <c r="K640" s="80"/>
      <c r="L640" s="64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spans="1:27" ht="15.65" x14ac:dyDescent="0.3">
      <c r="A641" s="81"/>
      <c r="B641" s="82"/>
      <c r="C641" s="79"/>
      <c r="D641" s="79"/>
      <c r="E641" s="79"/>
      <c r="F641" s="79"/>
      <c r="G641" s="79"/>
      <c r="H641" s="79"/>
      <c r="I641" s="79"/>
      <c r="J641" s="74"/>
      <c r="K641" s="80"/>
      <c r="L641" s="64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spans="1:27" ht="15.65" x14ac:dyDescent="0.3">
      <c r="A642" s="81"/>
      <c r="B642" s="82"/>
      <c r="C642" s="79"/>
      <c r="D642" s="79"/>
      <c r="E642" s="79"/>
      <c r="F642" s="79"/>
      <c r="G642" s="79"/>
      <c r="H642" s="79"/>
      <c r="I642" s="79"/>
      <c r="J642" s="74"/>
      <c r="K642" s="80"/>
      <c r="L642" s="64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spans="1:27" ht="15.65" x14ac:dyDescent="0.3">
      <c r="A643" s="81"/>
      <c r="B643" s="82"/>
      <c r="C643" s="79"/>
      <c r="D643" s="79"/>
      <c r="E643" s="79"/>
      <c r="F643" s="79"/>
      <c r="G643" s="79"/>
      <c r="H643" s="79"/>
      <c r="I643" s="79"/>
      <c r="J643" s="74"/>
      <c r="K643" s="80"/>
      <c r="L643" s="64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spans="1:27" ht="15.65" x14ac:dyDescent="0.3">
      <c r="A644" s="81"/>
      <c r="B644" s="82"/>
      <c r="C644" s="79"/>
      <c r="D644" s="79"/>
      <c r="E644" s="79"/>
      <c r="F644" s="79"/>
      <c r="G644" s="79"/>
      <c r="H644" s="79"/>
      <c r="I644" s="79"/>
      <c r="J644" s="74"/>
      <c r="K644" s="80"/>
      <c r="L644" s="64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spans="1:27" ht="15.65" x14ac:dyDescent="0.3">
      <c r="A645" s="81"/>
      <c r="B645" s="82"/>
      <c r="C645" s="79"/>
      <c r="D645" s="79"/>
      <c r="E645" s="79"/>
      <c r="F645" s="79"/>
      <c r="G645" s="79"/>
      <c r="H645" s="79"/>
      <c r="I645" s="79"/>
      <c r="J645" s="74"/>
      <c r="K645" s="80"/>
      <c r="L645" s="64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spans="1:27" ht="15.65" x14ac:dyDescent="0.3">
      <c r="A646" s="81"/>
      <c r="B646" s="82"/>
      <c r="C646" s="79"/>
      <c r="D646" s="79"/>
      <c r="E646" s="79"/>
      <c r="F646" s="79"/>
      <c r="G646" s="79"/>
      <c r="H646" s="79"/>
      <c r="I646" s="79"/>
      <c r="J646" s="74"/>
      <c r="K646" s="80"/>
      <c r="L646" s="64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spans="1:27" ht="15.65" x14ac:dyDescent="0.3">
      <c r="A647" s="81"/>
      <c r="B647" s="82"/>
      <c r="C647" s="79"/>
      <c r="D647" s="79"/>
      <c r="E647" s="79"/>
      <c r="F647" s="79"/>
      <c r="G647" s="79"/>
      <c r="H647" s="79"/>
      <c r="I647" s="79"/>
      <c r="J647" s="74"/>
      <c r="K647" s="80"/>
      <c r="L647" s="64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spans="1:27" ht="15.65" x14ac:dyDescent="0.3">
      <c r="A648" s="81"/>
      <c r="B648" s="82"/>
      <c r="C648" s="79"/>
      <c r="D648" s="79"/>
      <c r="E648" s="79"/>
      <c r="F648" s="79"/>
      <c r="G648" s="79"/>
      <c r="H648" s="79"/>
      <c r="I648" s="79"/>
      <c r="J648" s="74"/>
      <c r="K648" s="80"/>
      <c r="L648" s="64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spans="1:27" ht="15.65" x14ac:dyDescent="0.3">
      <c r="A649" s="81"/>
      <c r="B649" s="82"/>
      <c r="C649" s="79"/>
      <c r="D649" s="79"/>
      <c r="E649" s="79"/>
      <c r="F649" s="79"/>
      <c r="G649" s="79"/>
      <c r="H649" s="79"/>
      <c r="I649" s="79"/>
      <c r="J649" s="74"/>
      <c r="K649" s="80"/>
      <c r="L649" s="64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spans="1:27" ht="15.65" x14ac:dyDescent="0.3">
      <c r="A650" s="81"/>
      <c r="B650" s="82"/>
      <c r="C650" s="79"/>
      <c r="D650" s="79"/>
      <c r="E650" s="79"/>
      <c r="F650" s="79"/>
      <c r="G650" s="79"/>
      <c r="H650" s="79"/>
      <c r="I650" s="79"/>
      <c r="J650" s="74"/>
      <c r="K650" s="80"/>
      <c r="L650" s="64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spans="1:27" ht="15.65" x14ac:dyDescent="0.3">
      <c r="A651" s="81"/>
      <c r="B651" s="82"/>
      <c r="C651" s="79"/>
      <c r="D651" s="79"/>
      <c r="E651" s="79"/>
      <c r="F651" s="79"/>
      <c r="G651" s="79"/>
      <c r="H651" s="79"/>
      <c r="I651" s="79"/>
      <c r="J651" s="74"/>
      <c r="K651" s="80"/>
      <c r="L651" s="64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spans="1:27" ht="15.65" x14ac:dyDescent="0.3">
      <c r="A652" s="81"/>
      <c r="B652" s="82"/>
      <c r="C652" s="79"/>
      <c r="D652" s="79"/>
      <c r="E652" s="79"/>
      <c r="F652" s="79"/>
      <c r="G652" s="79"/>
      <c r="H652" s="79"/>
      <c r="I652" s="79"/>
      <c r="J652" s="74"/>
      <c r="K652" s="80"/>
      <c r="L652" s="64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spans="1:27" ht="15.65" x14ac:dyDescent="0.3">
      <c r="A653" s="81"/>
      <c r="B653" s="82"/>
      <c r="C653" s="79"/>
      <c r="D653" s="79"/>
      <c r="E653" s="79"/>
      <c r="F653" s="79"/>
      <c r="G653" s="79"/>
      <c r="H653" s="79"/>
      <c r="I653" s="79"/>
      <c r="J653" s="74"/>
      <c r="K653" s="80"/>
      <c r="L653" s="64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spans="1:27" ht="15.65" x14ac:dyDescent="0.3">
      <c r="A654" s="81"/>
      <c r="B654" s="82"/>
      <c r="C654" s="79"/>
      <c r="D654" s="79"/>
      <c r="E654" s="79"/>
      <c r="F654" s="79"/>
      <c r="G654" s="79"/>
      <c r="H654" s="79"/>
      <c r="I654" s="79"/>
      <c r="J654" s="74"/>
      <c r="K654" s="80"/>
      <c r="L654" s="64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spans="1:27" ht="15.65" x14ac:dyDescent="0.3">
      <c r="A655" s="81"/>
      <c r="B655" s="82"/>
      <c r="C655" s="79"/>
      <c r="D655" s="79"/>
      <c r="E655" s="79"/>
      <c r="F655" s="79"/>
      <c r="G655" s="79"/>
      <c r="H655" s="79"/>
      <c r="I655" s="79"/>
      <c r="J655" s="74"/>
      <c r="K655" s="80"/>
      <c r="L655" s="64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spans="1:27" ht="15.65" x14ac:dyDescent="0.3">
      <c r="A656" s="81"/>
      <c r="B656" s="82"/>
      <c r="C656" s="79"/>
      <c r="D656" s="79"/>
      <c r="E656" s="79"/>
      <c r="F656" s="79"/>
      <c r="G656" s="79"/>
      <c r="H656" s="79"/>
      <c r="I656" s="79"/>
      <c r="J656" s="74"/>
      <c r="K656" s="80"/>
      <c r="L656" s="64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spans="1:27" ht="15.65" x14ac:dyDescent="0.3">
      <c r="A657" s="81"/>
      <c r="B657" s="82"/>
      <c r="C657" s="79"/>
      <c r="D657" s="79"/>
      <c r="E657" s="79"/>
      <c r="F657" s="79"/>
      <c r="G657" s="79"/>
      <c r="H657" s="79"/>
      <c r="I657" s="79"/>
      <c r="J657" s="74"/>
      <c r="K657" s="80"/>
      <c r="L657" s="64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spans="1:27" ht="15.65" x14ac:dyDescent="0.3">
      <c r="A658" s="81"/>
      <c r="B658" s="82"/>
      <c r="C658" s="79"/>
      <c r="D658" s="79"/>
      <c r="E658" s="79"/>
      <c r="F658" s="79"/>
      <c r="G658" s="79"/>
      <c r="H658" s="79"/>
      <c r="I658" s="79"/>
      <c r="J658" s="74"/>
      <c r="K658" s="80"/>
      <c r="L658" s="64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spans="1:27" ht="15.65" x14ac:dyDescent="0.3">
      <c r="A659" s="81"/>
      <c r="B659" s="82"/>
      <c r="C659" s="79"/>
      <c r="D659" s="79"/>
      <c r="E659" s="79"/>
      <c r="F659" s="79"/>
      <c r="G659" s="79"/>
      <c r="H659" s="79"/>
      <c r="I659" s="79"/>
      <c r="J659" s="74"/>
      <c r="K659" s="80"/>
      <c r="L659" s="64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spans="1:27" ht="15.65" x14ac:dyDescent="0.3">
      <c r="A660" s="81"/>
      <c r="B660" s="82"/>
      <c r="C660" s="79"/>
      <c r="D660" s="79"/>
      <c r="E660" s="79"/>
      <c r="F660" s="79"/>
      <c r="G660" s="79"/>
      <c r="H660" s="79"/>
      <c r="I660" s="79"/>
      <c r="J660" s="74"/>
      <c r="K660" s="80"/>
      <c r="L660" s="64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spans="1:27" ht="15.65" x14ac:dyDescent="0.3">
      <c r="A661" s="81"/>
      <c r="B661" s="82"/>
      <c r="C661" s="79"/>
      <c r="D661" s="79"/>
      <c r="E661" s="79"/>
      <c r="F661" s="79"/>
      <c r="G661" s="79"/>
      <c r="H661" s="79"/>
      <c r="I661" s="79"/>
      <c r="J661" s="74"/>
      <c r="K661" s="80"/>
      <c r="L661" s="64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spans="1:27" ht="15.65" x14ac:dyDescent="0.3">
      <c r="A662" s="81"/>
      <c r="B662" s="82"/>
      <c r="C662" s="79"/>
      <c r="D662" s="79"/>
      <c r="E662" s="79"/>
      <c r="F662" s="79"/>
      <c r="G662" s="79"/>
      <c r="H662" s="79"/>
      <c r="I662" s="79"/>
      <c r="J662" s="74"/>
      <c r="K662" s="80"/>
      <c r="L662" s="64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spans="1:27" ht="15.65" x14ac:dyDescent="0.3">
      <c r="A663" s="81"/>
      <c r="B663" s="82"/>
      <c r="C663" s="79"/>
      <c r="D663" s="79"/>
      <c r="E663" s="79"/>
      <c r="F663" s="79"/>
      <c r="G663" s="79"/>
      <c r="H663" s="79"/>
      <c r="I663" s="79"/>
      <c r="J663" s="74"/>
      <c r="K663" s="80"/>
      <c r="L663" s="64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spans="1:27" ht="15.65" x14ac:dyDescent="0.3">
      <c r="A664" s="81"/>
      <c r="B664" s="82"/>
      <c r="C664" s="79"/>
      <c r="D664" s="79"/>
      <c r="E664" s="79"/>
      <c r="F664" s="79"/>
      <c r="G664" s="79"/>
      <c r="H664" s="79"/>
      <c r="I664" s="79"/>
      <c r="J664" s="74"/>
      <c r="K664" s="80"/>
      <c r="L664" s="64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spans="1:27" ht="15.65" x14ac:dyDescent="0.3">
      <c r="A665" s="81"/>
      <c r="B665" s="82"/>
      <c r="C665" s="79"/>
      <c r="D665" s="79"/>
      <c r="E665" s="79"/>
      <c r="F665" s="79"/>
      <c r="G665" s="79"/>
      <c r="H665" s="79"/>
      <c r="I665" s="79"/>
      <c r="J665" s="74"/>
      <c r="K665" s="80"/>
      <c r="L665" s="64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spans="1:27" ht="15.65" x14ac:dyDescent="0.3">
      <c r="A666" s="81"/>
      <c r="B666" s="82"/>
      <c r="C666" s="79"/>
      <c r="D666" s="79"/>
      <c r="E666" s="79"/>
      <c r="F666" s="79"/>
      <c r="G666" s="79"/>
      <c r="H666" s="79"/>
      <c r="I666" s="79"/>
      <c r="J666" s="74"/>
      <c r="K666" s="80"/>
      <c r="L666" s="64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spans="1:27" ht="15.65" x14ac:dyDescent="0.3">
      <c r="A667" s="81"/>
      <c r="B667" s="82"/>
      <c r="C667" s="79"/>
      <c r="D667" s="79"/>
      <c r="E667" s="79"/>
      <c r="F667" s="79"/>
      <c r="G667" s="79"/>
      <c r="H667" s="79"/>
      <c r="I667" s="79"/>
      <c r="J667" s="74"/>
      <c r="K667" s="80"/>
      <c r="L667" s="64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spans="1:27" ht="15.65" x14ac:dyDescent="0.3">
      <c r="A668" s="81"/>
      <c r="B668" s="82"/>
      <c r="C668" s="79"/>
      <c r="D668" s="79"/>
      <c r="E668" s="79"/>
      <c r="F668" s="79"/>
      <c r="G668" s="79"/>
      <c r="H668" s="79"/>
      <c r="I668" s="79"/>
      <c r="J668" s="74"/>
      <c r="K668" s="80"/>
      <c r="L668" s="64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spans="1:27" ht="15.65" x14ac:dyDescent="0.3">
      <c r="A669" s="81"/>
      <c r="B669" s="82"/>
      <c r="C669" s="79"/>
      <c r="D669" s="79"/>
      <c r="E669" s="79"/>
      <c r="F669" s="79"/>
      <c r="G669" s="79"/>
      <c r="H669" s="79"/>
      <c r="I669" s="79"/>
      <c r="J669" s="74"/>
      <c r="K669" s="80"/>
      <c r="L669" s="64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spans="1:27" ht="15.65" x14ac:dyDescent="0.3">
      <c r="A670" s="81"/>
      <c r="B670" s="82"/>
      <c r="C670" s="79"/>
      <c r="D670" s="79"/>
      <c r="E670" s="79"/>
      <c r="F670" s="79"/>
      <c r="G670" s="79"/>
      <c r="H670" s="79"/>
      <c r="I670" s="79"/>
      <c r="J670" s="74"/>
      <c r="K670" s="80"/>
      <c r="L670" s="64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spans="1:27" ht="15.65" x14ac:dyDescent="0.3">
      <c r="A671" s="81"/>
      <c r="B671" s="82"/>
      <c r="C671" s="79"/>
      <c r="D671" s="79"/>
      <c r="E671" s="79"/>
      <c r="F671" s="79"/>
      <c r="G671" s="79"/>
      <c r="H671" s="79"/>
      <c r="I671" s="79"/>
      <c r="J671" s="74"/>
      <c r="K671" s="80"/>
      <c r="L671" s="64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spans="1:27" ht="15.65" x14ac:dyDescent="0.3">
      <c r="A672" s="81"/>
      <c r="B672" s="82"/>
      <c r="C672" s="79"/>
      <c r="D672" s="79"/>
      <c r="E672" s="79"/>
      <c r="F672" s="79"/>
      <c r="G672" s="79"/>
      <c r="H672" s="79"/>
      <c r="I672" s="79"/>
      <c r="J672" s="74"/>
      <c r="K672" s="80"/>
      <c r="L672" s="64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spans="1:27" ht="15.65" x14ac:dyDescent="0.3">
      <c r="A673" s="81"/>
      <c r="B673" s="82"/>
      <c r="C673" s="79"/>
      <c r="D673" s="79"/>
      <c r="E673" s="79"/>
      <c r="F673" s="79"/>
      <c r="G673" s="79"/>
      <c r="H673" s="79"/>
      <c r="I673" s="79"/>
      <c r="J673" s="74"/>
      <c r="K673" s="80"/>
      <c r="L673" s="64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spans="1:27" ht="15.65" x14ac:dyDescent="0.3">
      <c r="A674" s="81"/>
      <c r="B674" s="82"/>
      <c r="C674" s="79"/>
      <c r="D674" s="79"/>
      <c r="E674" s="79"/>
      <c r="F674" s="79"/>
      <c r="G674" s="79"/>
      <c r="H674" s="79"/>
      <c r="I674" s="79"/>
      <c r="J674" s="74"/>
      <c r="K674" s="80"/>
      <c r="L674" s="64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spans="1:27" ht="15.65" x14ac:dyDescent="0.3">
      <c r="A675" s="81"/>
      <c r="B675" s="82"/>
      <c r="C675" s="79"/>
      <c r="D675" s="79"/>
      <c r="E675" s="79"/>
      <c r="F675" s="79"/>
      <c r="G675" s="79"/>
      <c r="H675" s="79"/>
      <c r="I675" s="79"/>
      <c r="J675" s="74"/>
      <c r="K675" s="80"/>
      <c r="L675" s="64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spans="1:27" ht="15.65" x14ac:dyDescent="0.3">
      <c r="A676" s="81"/>
      <c r="B676" s="82"/>
      <c r="C676" s="79"/>
      <c r="D676" s="79"/>
      <c r="E676" s="79"/>
      <c r="F676" s="79"/>
      <c r="G676" s="79"/>
      <c r="H676" s="79"/>
      <c r="I676" s="79"/>
      <c r="J676" s="74"/>
      <c r="K676" s="80"/>
      <c r="L676" s="64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spans="1:27" ht="15.65" x14ac:dyDescent="0.3">
      <c r="A677" s="81"/>
      <c r="B677" s="82"/>
      <c r="C677" s="79"/>
      <c r="D677" s="79"/>
      <c r="E677" s="79"/>
      <c r="F677" s="79"/>
      <c r="G677" s="79"/>
      <c r="H677" s="79"/>
      <c r="I677" s="79"/>
      <c r="J677" s="74"/>
      <c r="K677" s="80"/>
      <c r="L677" s="64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spans="1:27" ht="15.65" x14ac:dyDescent="0.3">
      <c r="A678" s="81"/>
      <c r="B678" s="82"/>
      <c r="C678" s="79"/>
      <c r="D678" s="79"/>
      <c r="E678" s="79"/>
      <c r="F678" s="79"/>
      <c r="G678" s="79"/>
      <c r="H678" s="79"/>
      <c r="I678" s="79"/>
      <c r="J678" s="74"/>
      <c r="K678" s="80"/>
      <c r="L678" s="64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spans="1:27" ht="15.65" x14ac:dyDescent="0.3">
      <c r="A679" s="81"/>
      <c r="B679" s="82"/>
      <c r="C679" s="79"/>
      <c r="D679" s="79"/>
      <c r="E679" s="79"/>
      <c r="F679" s="79"/>
      <c r="G679" s="79"/>
      <c r="H679" s="79"/>
      <c r="I679" s="79"/>
      <c r="J679" s="74"/>
      <c r="K679" s="80"/>
      <c r="L679" s="64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spans="1:27" ht="15.65" x14ac:dyDescent="0.3">
      <c r="A680" s="81"/>
      <c r="B680" s="82"/>
      <c r="C680" s="79"/>
      <c r="D680" s="79"/>
      <c r="E680" s="79"/>
      <c r="F680" s="79"/>
      <c r="G680" s="79"/>
      <c r="H680" s="79"/>
      <c r="I680" s="79"/>
      <c r="J680" s="74"/>
      <c r="K680" s="80"/>
      <c r="L680" s="64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spans="1:27" ht="15.65" x14ac:dyDescent="0.3">
      <c r="A681" s="81"/>
      <c r="B681" s="82"/>
      <c r="C681" s="79"/>
      <c r="D681" s="79"/>
      <c r="E681" s="79"/>
      <c r="F681" s="79"/>
      <c r="G681" s="79"/>
      <c r="H681" s="79"/>
      <c r="I681" s="79"/>
      <c r="J681" s="74"/>
      <c r="K681" s="80"/>
      <c r="L681" s="64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spans="1:27" ht="15.65" x14ac:dyDescent="0.3">
      <c r="A682" s="81"/>
      <c r="B682" s="82"/>
      <c r="C682" s="79"/>
      <c r="D682" s="79"/>
      <c r="E682" s="79"/>
      <c r="F682" s="79"/>
      <c r="G682" s="79"/>
      <c r="H682" s="79"/>
      <c r="I682" s="79"/>
      <c r="J682" s="74"/>
      <c r="K682" s="80"/>
      <c r="L682" s="64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spans="1:27" ht="15.65" x14ac:dyDescent="0.3">
      <c r="A683" s="81"/>
      <c r="B683" s="82"/>
      <c r="C683" s="79"/>
      <c r="D683" s="79"/>
      <c r="E683" s="79"/>
      <c r="F683" s="79"/>
      <c r="G683" s="79"/>
      <c r="H683" s="79"/>
      <c r="I683" s="79"/>
      <c r="J683" s="74"/>
      <c r="K683" s="80"/>
      <c r="L683" s="64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spans="1:27" ht="15.65" x14ac:dyDescent="0.3">
      <c r="A684" s="81"/>
      <c r="B684" s="82"/>
      <c r="C684" s="79"/>
      <c r="D684" s="79"/>
      <c r="E684" s="79"/>
      <c r="F684" s="79"/>
      <c r="G684" s="79"/>
      <c r="H684" s="79"/>
      <c r="I684" s="79"/>
      <c r="J684" s="74"/>
      <c r="K684" s="80"/>
      <c r="L684" s="64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spans="1:27" ht="15.65" x14ac:dyDescent="0.3">
      <c r="A685" s="81"/>
      <c r="B685" s="82"/>
      <c r="C685" s="79"/>
      <c r="D685" s="79"/>
      <c r="E685" s="79"/>
      <c r="F685" s="79"/>
      <c r="G685" s="79"/>
      <c r="H685" s="79"/>
      <c r="I685" s="79"/>
      <c r="J685" s="74"/>
      <c r="K685" s="80"/>
      <c r="L685" s="64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spans="1:27" ht="15.65" x14ac:dyDescent="0.3">
      <c r="A686" s="81"/>
      <c r="B686" s="82"/>
      <c r="C686" s="79"/>
      <c r="D686" s="79"/>
      <c r="E686" s="79"/>
      <c r="F686" s="79"/>
      <c r="G686" s="79"/>
      <c r="H686" s="79"/>
      <c r="I686" s="79"/>
      <c r="J686" s="74"/>
      <c r="K686" s="80"/>
      <c r="L686" s="64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spans="1:27" ht="15.65" x14ac:dyDescent="0.3">
      <c r="A687" s="81"/>
      <c r="B687" s="82"/>
      <c r="C687" s="79"/>
      <c r="D687" s="79"/>
      <c r="E687" s="79"/>
      <c r="F687" s="79"/>
      <c r="G687" s="79"/>
      <c r="H687" s="79"/>
      <c r="I687" s="79"/>
      <c r="J687" s="74"/>
      <c r="K687" s="80"/>
      <c r="L687" s="64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spans="1:27" ht="15.65" x14ac:dyDescent="0.3">
      <c r="A688" s="81"/>
      <c r="B688" s="82"/>
      <c r="C688" s="79"/>
      <c r="D688" s="79"/>
      <c r="E688" s="79"/>
      <c r="F688" s="79"/>
      <c r="G688" s="79"/>
      <c r="H688" s="79"/>
      <c r="I688" s="79"/>
      <c r="J688" s="74"/>
      <c r="K688" s="80"/>
      <c r="L688" s="64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spans="1:27" ht="15.65" x14ac:dyDescent="0.3">
      <c r="A689" s="81"/>
      <c r="B689" s="82"/>
      <c r="C689" s="79"/>
      <c r="D689" s="79"/>
      <c r="E689" s="79"/>
      <c r="F689" s="79"/>
      <c r="G689" s="79"/>
      <c r="H689" s="79"/>
      <c r="I689" s="79"/>
      <c r="J689" s="74"/>
      <c r="K689" s="80"/>
      <c r="L689" s="64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spans="1:27" ht="15.65" x14ac:dyDescent="0.3">
      <c r="A690" s="81"/>
      <c r="B690" s="82"/>
      <c r="C690" s="79"/>
      <c r="D690" s="79"/>
      <c r="E690" s="79"/>
      <c r="F690" s="79"/>
      <c r="G690" s="79"/>
      <c r="H690" s="79"/>
      <c r="I690" s="79"/>
      <c r="J690" s="74"/>
      <c r="K690" s="80"/>
      <c r="L690" s="64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spans="1:27" ht="15.65" x14ac:dyDescent="0.3">
      <c r="A691" s="81"/>
      <c r="B691" s="82"/>
      <c r="C691" s="79"/>
      <c r="D691" s="79"/>
      <c r="E691" s="79"/>
      <c r="F691" s="79"/>
      <c r="G691" s="79"/>
      <c r="H691" s="79"/>
      <c r="I691" s="79"/>
      <c r="J691" s="74"/>
      <c r="K691" s="80"/>
      <c r="L691" s="64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spans="1:27" ht="15.65" x14ac:dyDescent="0.3">
      <c r="A692" s="81"/>
      <c r="B692" s="82"/>
      <c r="C692" s="79"/>
      <c r="D692" s="79"/>
      <c r="E692" s="79"/>
      <c r="F692" s="79"/>
      <c r="G692" s="79"/>
      <c r="H692" s="79"/>
      <c r="I692" s="79"/>
      <c r="J692" s="74"/>
      <c r="K692" s="80"/>
      <c r="L692" s="64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spans="1:27" ht="15.65" x14ac:dyDescent="0.3">
      <c r="A693" s="81"/>
      <c r="B693" s="82"/>
      <c r="C693" s="79"/>
      <c r="D693" s="79"/>
      <c r="E693" s="79"/>
      <c r="F693" s="79"/>
      <c r="G693" s="79"/>
      <c r="H693" s="79"/>
      <c r="I693" s="79"/>
      <c r="J693" s="74"/>
      <c r="K693" s="80"/>
      <c r="L693" s="64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spans="1:27" ht="15.65" x14ac:dyDescent="0.3">
      <c r="A694" s="81"/>
      <c r="B694" s="82"/>
      <c r="C694" s="79"/>
      <c r="D694" s="79"/>
      <c r="E694" s="79"/>
      <c r="F694" s="79"/>
      <c r="G694" s="79"/>
      <c r="H694" s="79"/>
      <c r="I694" s="79"/>
      <c r="J694" s="74"/>
      <c r="K694" s="80"/>
      <c r="L694" s="64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spans="1:27" ht="15.65" x14ac:dyDescent="0.3">
      <c r="A695" s="81"/>
      <c r="B695" s="82"/>
      <c r="C695" s="79"/>
      <c r="D695" s="79"/>
      <c r="E695" s="79"/>
      <c r="F695" s="79"/>
      <c r="G695" s="79"/>
      <c r="H695" s="79"/>
      <c r="I695" s="79"/>
      <c r="J695" s="74"/>
      <c r="K695" s="80"/>
      <c r="L695" s="64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spans="1:27" ht="15.65" x14ac:dyDescent="0.3">
      <c r="A696" s="81"/>
      <c r="B696" s="82"/>
      <c r="C696" s="79"/>
      <c r="D696" s="79"/>
      <c r="E696" s="79"/>
      <c r="F696" s="79"/>
      <c r="G696" s="79"/>
      <c r="H696" s="79"/>
      <c r="I696" s="79"/>
      <c r="J696" s="74"/>
      <c r="K696" s="80"/>
      <c r="L696" s="64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spans="1:27" ht="15.65" x14ac:dyDescent="0.3">
      <c r="A697" s="81"/>
      <c r="B697" s="82"/>
      <c r="C697" s="79"/>
      <c r="D697" s="79"/>
      <c r="E697" s="79"/>
      <c r="F697" s="79"/>
      <c r="G697" s="79"/>
      <c r="H697" s="79"/>
      <c r="I697" s="79"/>
      <c r="J697" s="74"/>
      <c r="K697" s="80"/>
      <c r="L697" s="64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spans="1:27" ht="15.65" x14ac:dyDescent="0.3">
      <c r="A698" s="81"/>
      <c r="B698" s="82"/>
      <c r="C698" s="79"/>
      <c r="D698" s="79"/>
      <c r="E698" s="79"/>
      <c r="F698" s="79"/>
      <c r="G698" s="79"/>
      <c r="H698" s="79"/>
      <c r="I698" s="79"/>
      <c r="J698" s="74"/>
      <c r="K698" s="80"/>
      <c r="L698" s="64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spans="1:27" ht="15.65" x14ac:dyDescent="0.3">
      <c r="A699" s="81"/>
      <c r="B699" s="82"/>
      <c r="C699" s="79"/>
      <c r="D699" s="79"/>
      <c r="E699" s="79"/>
      <c r="F699" s="79"/>
      <c r="G699" s="79"/>
      <c r="H699" s="79"/>
      <c r="I699" s="79"/>
      <c r="J699" s="74"/>
      <c r="K699" s="80"/>
      <c r="L699" s="64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spans="1:27" ht="15.65" x14ac:dyDescent="0.3">
      <c r="A700" s="81"/>
      <c r="B700" s="82"/>
      <c r="C700" s="79"/>
      <c r="D700" s="79"/>
      <c r="E700" s="79"/>
      <c r="F700" s="79"/>
      <c r="G700" s="79"/>
      <c r="H700" s="79"/>
      <c r="I700" s="79"/>
      <c r="J700" s="74"/>
      <c r="K700" s="80"/>
      <c r="L700" s="64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spans="1:27" ht="15.65" x14ac:dyDescent="0.3">
      <c r="A701" s="81"/>
      <c r="B701" s="82"/>
      <c r="C701" s="79"/>
      <c r="D701" s="79"/>
      <c r="E701" s="79"/>
      <c r="F701" s="79"/>
      <c r="G701" s="79"/>
      <c r="H701" s="79"/>
      <c r="I701" s="79"/>
      <c r="J701" s="74"/>
      <c r="K701" s="80"/>
      <c r="L701" s="64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spans="1:27" ht="15.65" x14ac:dyDescent="0.3">
      <c r="A702" s="81"/>
      <c r="B702" s="82"/>
      <c r="C702" s="79"/>
      <c r="D702" s="79"/>
      <c r="E702" s="79"/>
      <c r="F702" s="79"/>
      <c r="G702" s="79"/>
      <c r="H702" s="79"/>
      <c r="I702" s="79"/>
      <c r="J702" s="74"/>
      <c r="K702" s="80"/>
      <c r="L702" s="64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spans="1:27" ht="15.65" x14ac:dyDescent="0.3">
      <c r="A703" s="81"/>
      <c r="B703" s="82"/>
      <c r="C703" s="79"/>
      <c r="D703" s="79"/>
      <c r="E703" s="79"/>
      <c r="F703" s="79"/>
      <c r="G703" s="79"/>
      <c r="H703" s="79"/>
      <c r="I703" s="79"/>
      <c r="J703" s="74"/>
      <c r="K703" s="80"/>
      <c r="L703" s="64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spans="1:27" ht="15.65" x14ac:dyDescent="0.3">
      <c r="A704" s="81"/>
      <c r="B704" s="82"/>
      <c r="C704" s="79"/>
      <c r="D704" s="79"/>
      <c r="E704" s="79"/>
      <c r="F704" s="79"/>
      <c r="G704" s="79"/>
      <c r="H704" s="79"/>
      <c r="I704" s="79"/>
      <c r="J704" s="74"/>
      <c r="K704" s="80"/>
      <c r="L704" s="64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spans="1:27" ht="15.65" x14ac:dyDescent="0.3">
      <c r="A705" s="81"/>
      <c r="B705" s="82"/>
      <c r="C705" s="79"/>
      <c r="D705" s="79"/>
      <c r="E705" s="79"/>
      <c r="F705" s="79"/>
      <c r="G705" s="79"/>
      <c r="H705" s="79"/>
      <c r="I705" s="79"/>
      <c r="J705" s="74"/>
      <c r="K705" s="80"/>
      <c r="L705" s="64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spans="1:27" ht="15.65" x14ac:dyDescent="0.3">
      <c r="A706" s="81"/>
      <c r="B706" s="82"/>
      <c r="C706" s="79"/>
      <c r="D706" s="79"/>
      <c r="E706" s="79"/>
      <c r="F706" s="79"/>
      <c r="G706" s="79"/>
      <c r="H706" s="79"/>
      <c r="I706" s="79"/>
      <c r="J706" s="74"/>
      <c r="K706" s="80"/>
      <c r="L706" s="64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spans="1:27" ht="15.65" x14ac:dyDescent="0.3">
      <c r="A707" s="81"/>
      <c r="B707" s="82"/>
      <c r="C707" s="79"/>
      <c r="D707" s="79"/>
      <c r="E707" s="79"/>
      <c r="F707" s="79"/>
      <c r="G707" s="79"/>
      <c r="H707" s="79"/>
      <c r="I707" s="79"/>
      <c r="J707" s="74"/>
      <c r="K707" s="80"/>
      <c r="L707" s="64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spans="1:27" ht="15.65" x14ac:dyDescent="0.3">
      <c r="A708" s="81"/>
      <c r="B708" s="82"/>
      <c r="C708" s="79"/>
      <c r="D708" s="79"/>
      <c r="E708" s="79"/>
      <c r="F708" s="79"/>
      <c r="G708" s="79"/>
      <c r="H708" s="79"/>
      <c r="I708" s="79"/>
      <c r="J708" s="74"/>
      <c r="K708" s="80"/>
      <c r="L708" s="64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spans="1:27" ht="15.65" x14ac:dyDescent="0.3">
      <c r="A709" s="81"/>
      <c r="B709" s="82"/>
      <c r="C709" s="79"/>
      <c r="D709" s="79"/>
      <c r="E709" s="79"/>
      <c r="F709" s="79"/>
      <c r="G709" s="79"/>
      <c r="H709" s="79"/>
      <c r="I709" s="79"/>
      <c r="J709" s="74"/>
      <c r="K709" s="80"/>
      <c r="L709" s="64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spans="1:27" ht="15.65" x14ac:dyDescent="0.3">
      <c r="A710" s="81"/>
      <c r="B710" s="82"/>
      <c r="C710" s="79"/>
      <c r="D710" s="79"/>
      <c r="E710" s="79"/>
      <c r="F710" s="79"/>
      <c r="G710" s="79"/>
      <c r="H710" s="79"/>
      <c r="I710" s="79"/>
      <c r="J710" s="74"/>
      <c r="K710" s="80"/>
      <c r="L710" s="64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spans="1:27" ht="15.65" x14ac:dyDescent="0.3">
      <c r="A711" s="81"/>
      <c r="B711" s="82"/>
      <c r="C711" s="79"/>
      <c r="D711" s="79"/>
      <c r="E711" s="79"/>
      <c r="F711" s="79"/>
      <c r="G711" s="79"/>
      <c r="H711" s="79"/>
      <c r="I711" s="79"/>
      <c r="J711" s="74"/>
      <c r="K711" s="80"/>
      <c r="L711" s="64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spans="1:27" ht="15.65" x14ac:dyDescent="0.3">
      <c r="A712" s="81"/>
      <c r="B712" s="82"/>
      <c r="C712" s="79"/>
      <c r="D712" s="79"/>
      <c r="E712" s="79"/>
      <c r="F712" s="79"/>
      <c r="G712" s="79"/>
      <c r="H712" s="79"/>
      <c r="I712" s="79"/>
      <c r="J712" s="74"/>
      <c r="K712" s="80"/>
      <c r="L712" s="64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spans="1:27" ht="15.65" x14ac:dyDescent="0.3">
      <c r="A713" s="81"/>
      <c r="B713" s="82"/>
      <c r="C713" s="79"/>
      <c r="D713" s="79"/>
      <c r="E713" s="79"/>
      <c r="F713" s="79"/>
      <c r="G713" s="79"/>
      <c r="H713" s="79"/>
      <c r="I713" s="79"/>
      <c r="J713" s="74"/>
      <c r="K713" s="80"/>
      <c r="L713" s="64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spans="1:27" ht="15.65" x14ac:dyDescent="0.3">
      <c r="A714" s="81"/>
      <c r="B714" s="82"/>
      <c r="C714" s="79"/>
      <c r="D714" s="79"/>
      <c r="E714" s="79"/>
      <c r="F714" s="79"/>
      <c r="G714" s="79"/>
      <c r="H714" s="79"/>
      <c r="I714" s="79"/>
      <c r="J714" s="74"/>
      <c r="K714" s="80"/>
      <c r="L714" s="64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spans="1:27" ht="15.65" x14ac:dyDescent="0.3">
      <c r="A715" s="81"/>
      <c r="B715" s="82"/>
      <c r="C715" s="79"/>
      <c r="D715" s="79"/>
      <c r="E715" s="79"/>
      <c r="F715" s="79"/>
      <c r="G715" s="79"/>
      <c r="H715" s="79"/>
      <c r="I715" s="79"/>
      <c r="J715" s="74"/>
      <c r="K715" s="80"/>
      <c r="L715" s="64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spans="1:27" ht="15.65" x14ac:dyDescent="0.3">
      <c r="A716" s="81"/>
      <c r="B716" s="82"/>
      <c r="C716" s="79"/>
      <c r="D716" s="79"/>
      <c r="E716" s="79"/>
      <c r="F716" s="79"/>
      <c r="G716" s="79"/>
      <c r="H716" s="79"/>
      <c r="I716" s="79"/>
      <c r="J716" s="74"/>
      <c r="K716" s="80"/>
      <c r="L716" s="64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spans="1:27" ht="15.65" x14ac:dyDescent="0.3">
      <c r="A717" s="81"/>
      <c r="B717" s="82"/>
      <c r="C717" s="79"/>
      <c r="D717" s="79"/>
      <c r="E717" s="79"/>
      <c r="F717" s="79"/>
      <c r="G717" s="79"/>
      <c r="H717" s="79"/>
      <c r="I717" s="79"/>
      <c r="J717" s="74"/>
      <c r="K717" s="80"/>
      <c r="L717" s="64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spans="1:27" ht="15.65" x14ac:dyDescent="0.3">
      <c r="A718" s="81"/>
      <c r="B718" s="82"/>
      <c r="C718" s="79"/>
      <c r="D718" s="79"/>
      <c r="E718" s="79"/>
      <c r="F718" s="79"/>
      <c r="G718" s="79"/>
      <c r="H718" s="79"/>
      <c r="I718" s="79"/>
      <c r="J718" s="74"/>
      <c r="K718" s="80"/>
      <c r="L718" s="64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spans="1:27" ht="15.65" x14ac:dyDescent="0.3">
      <c r="A719" s="81"/>
      <c r="B719" s="82"/>
      <c r="C719" s="79"/>
      <c r="D719" s="79"/>
      <c r="E719" s="79"/>
      <c r="F719" s="79"/>
      <c r="G719" s="79"/>
      <c r="H719" s="79"/>
      <c r="I719" s="79"/>
      <c r="J719" s="74"/>
      <c r="K719" s="80"/>
      <c r="L719" s="64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spans="1:27" ht="15.65" x14ac:dyDescent="0.3">
      <c r="A720" s="81"/>
      <c r="B720" s="82"/>
      <c r="C720" s="79"/>
      <c r="D720" s="79"/>
      <c r="E720" s="79"/>
      <c r="F720" s="79"/>
      <c r="G720" s="79"/>
      <c r="H720" s="79"/>
      <c r="I720" s="79"/>
      <c r="J720" s="74"/>
      <c r="K720" s="80"/>
      <c r="L720" s="64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spans="1:27" ht="15.65" x14ac:dyDescent="0.3">
      <c r="A721" s="81"/>
      <c r="B721" s="82"/>
      <c r="C721" s="79"/>
      <c r="D721" s="79"/>
      <c r="E721" s="79"/>
      <c r="F721" s="79"/>
      <c r="G721" s="79"/>
      <c r="H721" s="79"/>
      <c r="I721" s="79"/>
      <c r="J721" s="74"/>
      <c r="K721" s="80"/>
      <c r="L721" s="64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spans="1:27" ht="15.65" x14ac:dyDescent="0.3">
      <c r="A722" s="81"/>
      <c r="B722" s="82"/>
      <c r="C722" s="79"/>
      <c r="D722" s="79"/>
      <c r="E722" s="79"/>
      <c r="F722" s="79"/>
      <c r="G722" s="79"/>
      <c r="H722" s="79"/>
      <c r="I722" s="79"/>
      <c r="J722" s="74"/>
      <c r="K722" s="80"/>
      <c r="L722" s="64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spans="1:27" ht="15.65" x14ac:dyDescent="0.3">
      <c r="A723" s="81"/>
      <c r="B723" s="82"/>
      <c r="C723" s="79"/>
      <c r="D723" s="79"/>
      <c r="E723" s="79"/>
      <c r="F723" s="79"/>
      <c r="G723" s="79"/>
      <c r="H723" s="79"/>
      <c r="I723" s="79"/>
      <c r="J723" s="74"/>
      <c r="K723" s="80"/>
      <c r="L723" s="64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spans="1:27" ht="15.65" x14ac:dyDescent="0.3">
      <c r="A724" s="81"/>
      <c r="B724" s="82"/>
      <c r="C724" s="79"/>
      <c r="D724" s="79"/>
      <c r="E724" s="79"/>
      <c r="F724" s="79"/>
      <c r="G724" s="79"/>
      <c r="H724" s="79"/>
      <c r="I724" s="79"/>
      <c r="J724" s="74"/>
      <c r="K724" s="80"/>
      <c r="L724" s="64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spans="1:27" ht="15.65" x14ac:dyDescent="0.3">
      <c r="A725" s="81"/>
      <c r="B725" s="82"/>
      <c r="C725" s="79"/>
      <c r="D725" s="79"/>
      <c r="E725" s="79"/>
      <c r="F725" s="79"/>
      <c r="G725" s="79"/>
      <c r="H725" s="79"/>
      <c r="I725" s="79"/>
      <c r="J725" s="74"/>
      <c r="K725" s="80"/>
      <c r="L725" s="64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spans="1:27" ht="15.65" x14ac:dyDescent="0.3">
      <c r="A726" s="81"/>
      <c r="B726" s="82"/>
      <c r="C726" s="79"/>
      <c r="D726" s="79"/>
      <c r="E726" s="79"/>
      <c r="F726" s="79"/>
      <c r="G726" s="79"/>
      <c r="H726" s="79"/>
      <c r="I726" s="79"/>
      <c r="J726" s="74"/>
      <c r="K726" s="80"/>
      <c r="L726" s="64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spans="1:27" ht="15.65" x14ac:dyDescent="0.3">
      <c r="A727" s="81"/>
      <c r="B727" s="82"/>
      <c r="C727" s="79"/>
      <c r="D727" s="79"/>
      <c r="E727" s="79"/>
      <c r="F727" s="79"/>
      <c r="G727" s="79"/>
      <c r="H727" s="79"/>
      <c r="I727" s="79"/>
      <c r="J727" s="74"/>
      <c r="K727" s="80"/>
      <c r="L727" s="64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spans="1:27" ht="15.65" x14ac:dyDescent="0.3">
      <c r="A728" s="81"/>
      <c r="B728" s="82"/>
      <c r="C728" s="79"/>
      <c r="D728" s="79"/>
      <c r="E728" s="79"/>
      <c r="F728" s="79"/>
      <c r="G728" s="79"/>
      <c r="H728" s="79"/>
      <c r="I728" s="79"/>
      <c r="J728" s="74"/>
      <c r="K728" s="80"/>
      <c r="L728" s="64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spans="1:27" ht="15.65" x14ac:dyDescent="0.3">
      <c r="A729" s="81"/>
      <c r="B729" s="82"/>
      <c r="C729" s="79"/>
      <c r="D729" s="79"/>
      <c r="E729" s="79"/>
      <c r="F729" s="79"/>
      <c r="G729" s="79"/>
      <c r="H729" s="79"/>
      <c r="I729" s="79"/>
      <c r="J729" s="74"/>
      <c r="K729" s="80"/>
      <c r="L729" s="64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spans="1:27" ht="15.65" x14ac:dyDescent="0.3">
      <c r="A730" s="81"/>
      <c r="B730" s="82"/>
      <c r="C730" s="79"/>
      <c r="D730" s="79"/>
      <c r="E730" s="79"/>
      <c r="F730" s="79"/>
      <c r="G730" s="79"/>
      <c r="H730" s="79"/>
      <c r="I730" s="79"/>
      <c r="J730" s="74"/>
      <c r="K730" s="80"/>
      <c r="L730" s="64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spans="1:27" ht="15.65" x14ac:dyDescent="0.3">
      <c r="A731" s="81"/>
      <c r="B731" s="82"/>
      <c r="C731" s="79"/>
      <c r="D731" s="79"/>
      <c r="E731" s="79"/>
      <c r="F731" s="79"/>
      <c r="G731" s="79"/>
      <c r="H731" s="79"/>
      <c r="I731" s="79"/>
      <c r="J731" s="74"/>
      <c r="K731" s="80"/>
      <c r="L731" s="64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spans="1:27" ht="15.65" x14ac:dyDescent="0.3">
      <c r="A732" s="81"/>
      <c r="B732" s="82"/>
      <c r="C732" s="79"/>
      <c r="D732" s="79"/>
      <c r="E732" s="79"/>
      <c r="F732" s="79"/>
      <c r="G732" s="79"/>
      <c r="H732" s="79"/>
      <c r="I732" s="79"/>
      <c r="J732" s="74"/>
      <c r="K732" s="80"/>
      <c r="L732" s="64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spans="1:27" ht="15.65" x14ac:dyDescent="0.3">
      <c r="A733" s="81"/>
      <c r="B733" s="82"/>
      <c r="C733" s="79"/>
      <c r="D733" s="79"/>
      <c r="E733" s="79"/>
      <c r="F733" s="79"/>
      <c r="G733" s="79"/>
      <c r="H733" s="79"/>
      <c r="I733" s="79"/>
      <c r="J733" s="74"/>
      <c r="K733" s="80"/>
      <c r="L733" s="64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spans="1:27" ht="15.65" x14ac:dyDescent="0.3">
      <c r="A734" s="81"/>
      <c r="B734" s="82"/>
      <c r="C734" s="79"/>
      <c r="D734" s="79"/>
      <c r="E734" s="79"/>
      <c r="F734" s="79"/>
      <c r="G734" s="79"/>
      <c r="H734" s="79"/>
      <c r="I734" s="79"/>
      <c r="J734" s="74"/>
      <c r="K734" s="80"/>
      <c r="L734" s="64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spans="1:27" ht="15.65" x14ac:dyDescent="0.3">
      <c r="A735" s="81"/>
      <c r="B735" s="82"/>
      <c r="C735" s="79"/>
      <c r="D735" s="79"/>
      <c r="E735" s="79"/>
      <c r="F735" s="79"/>
      <c r="G735" s="79"/>
      <c r="H735" s="79"/>
      <c r="I735" s="79"/>
      <c r="J735" s="74"/>
      <c r="K735" s="80"/>
      <c r="L735" s="64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spans="1:27" ht="15.65" x14ac:dyDescent="0.3">
      <c r="A736" s="81"/>
      <c r="B736" s="82"/>
      <c r="C736" s="79"/>
      <c r="D736" s="79"/>
      <c r="E736" s="79"/>
      <c r="F736" s="79"/>
      <c r="G736" s="79"/>
      <c r="H736" s="79"/>
      <c r="I736" s="79"/>
      <c r="J736" s="74"/>
      <c r="K736" s="80"/>
      <c r="L736" s="64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spans="1:27" ht="15.65" x14ac:dyDescent="0.3">
      <c r="A737" s="81"/>
      <c r="B737" s="82"/>
      <c r="C737" s="79"/>
      <c r="D737" s="79"/>
      <c r="E737" s="79"/>
      <c r="F737" s="79"/>
      <c r="G737" s="79"/>
      <c r="H737" s="79"/>
      <c r="I737" s="79"/>
      <c r="J737" s="74"/>
      <c r="K737" s="80"/>
      <c r="L737" s="64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spans="1:27" ht="15.65" x14ac:dyDescent="0.3">
      <c r="A738" s="81"/>
      <c r="B738" s="82"/>
      <c r="C738" s="79"/>
      <c r="D738" s="79"/>
      <c r="E738" s="79"/>
      <c r="F738" s="79"/>
      <c r="G738" s="79"/>
      <c r="H738" s="79"/>
      <c r="I738" s="79"/>
      <c r="J738" s="74"/>
      <c r="K738" s="80"/>
      <c r="L738" s="64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spans="1:27" ht="15.65" x14ac:dyDescent="0.3">
      <c r="A739" s="81"/>
      <c r="B739" s="82"/>
      <c r="C739" s="79"/>
      <c r="D739" s="79"/>
      <c r="E739" s="79"/>
      <c r="F739" s="79"/>
      <c r="G739" s="79"/>
      <c r="H739" s="79"/>
      <c r="I739" s="79"/>
      <c r="J739" s="74"/>
      <c r="K739" s="80"/>
      <c r="L739" s="64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spans="1:27" ht="15.65" x14ac:dyDescent="0.3">
      <c r="A740" s="81"/>
      <c r="B740" s="82"/>
      <c r="C740" s="79"/>
      <c r="D740" s="79"/>
      <c r="E740" s="79"/>
      <c r="F740" s="79"/>
      <c r="G740" s="79"/>
      <c r="H740" s="79"/>
      <c r="I740" s="79"/>
      <c r="J740" s="74"/>
      <c r="K740" s="80"/>
      <c r="L740" s="64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spans="1:27" ht="15.65" x14ac:dyDescent="0.3">
      <c r="A741" s="81"/>
      <c r="B741" s="82"/>
      <c r="C741" s="79"/>
      <c r="D741" s="79"/>
      <c r="E741" s="79"/>
      <c r="F741" s="79"/>
      <c r="G741" s="79"/>
      <c r="H741" s="79"/>
      <c r="I741" s="79"/>
      <c r="J741" s="74"/>
      <c r="K741" s="80"/>
      <c r="L741" s="64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spans="1:27" ht="15.65" x14ac:dyDescent="0.3">
      <c r="A742" s="81"/>
      <c r="B742" s="82"/>
      <c r="C742" s="79"/>
      <c r="D742" s="79"/>
      <c r="E742" s="79"/>
      <c r="F742" s="79"/>
      <c r="G742" s="79"/>
      <c r="H742" s="79"/>
      <c r="I742" s="79"/>
      <c r="J742" s="74"/>
      <c r="K742" s="80"/>
      <c r="L742" s="64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spans="1:27" ht="15.65" x14ac:dyDescent="0.3">
      <c r="A743" s="81"/>
      <c r="B743" s="82"/>
      <c r="C743" s="79"/>
      <c r="D743" s="79"/>
      <c r="E743" s="79"/>
      <c r="F743" s="79"/>
      <c r="G743" s="79"/>
      <c r="H743" s="79"/>
      <c r="I743" s="79"/>
      <c r="J743" s="74"/>
      <c r="K743" s="80"/>
      <c r="L743" s="64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spans="1:27" ht="15.65" x14ac:dyDescent="0.3">
      <c r="A744" s="81"/>
      <c r="B744" s="82"/>
      <c r="C744" s="79"/>
      <c r="D744" s="79"/>
      <c r="E744" s="79"/>
      <c r="F744" s="79"/>
      <c r="G744" s="79"/>
      <c r="H744" s="79"/>
      <c r="I744" s="79"/>
      <c r="J744" s="74"/>
      <c r="K744" s="80"/>
      <c r="L744" s="64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spans="1:27" ht="15.65" x14ac:dyDescent="0.3">
      <c r="A745" s="81"/>
      <c r="B745" s="82"/>
      <c r="C745" s="79"/>
      <c r="D745" s="79"/>
      <c r="E745" s="79"/>
      <c r="F745" s="79"/>
      <c r="G745" s="79"/>
      <c r="H745" s="79"/>
      <c r="I745" s="79"/>
      <c r="J745" s="74"/>
      <c r="K745" s="80"/>
      <c r="L745" s="64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spans="1:27" ht="15.65" x14ac:dyDescent="0.3">
      <c r="A746" s="81"/>
      <c r="B746" s="82"/>
      <c r="C746" s="79"/>
      <c r="D746" s="79"/>
      <c r="E746" s="79"/>
      <c r="F746" s="79"/>
      <c r="G746" s="79"/>
      <c r="H746" s="79"/>
      <c r="I746" s="79"/>
      <c r="J746" s="74"/>
      <c r="K746" s="80"/>
      <c r="L746" s="64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spans="1:27" ht="15.65" x14ac:dyDescent="0.3">
      <c r="A747" s="81"/>
      <c r="B747" s="82"/>
      <c r="C747" s="79"/>
      <c r="D747" s="79"/>
      <c r="E747" s="79"/>
      <c r="F747" s="79"/>
      <c r="G747" s="79"/>
      <c r="H747" s="79"/>
      <c r="I747" s="79"/>
      <c r="J747" s="74"/>
      <c r="K747" s="80"/>
      <c r="L747" s="64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spans="1:27" ht="15.65" x14ac:dyDescent="0.3">
      <c r="A748" s="81"/>
      <c r="B748" s="82"/>
      <c r="C748" s="79"/>
      <c r="D748" s="79"/>
      <c r="E748" s="79"/>
      <c r="F748" s="79"/>
      <c r="G748" s="79"/>
      <c r="H748" s="79"/>
      <c r="I748" s="79"/>
      <c r="J748" s="74"/>
      <c r="K748" s="80"/>
      <c r="L748" s="64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spans="1:27" ht="15.65" x14ac:dyDescent="0.3">
      <c r="A749" s="81"/>
      <c r="B749" s="82"/>
      <c r="C749" s="79"/>
      <c r="D749" s="79"/>
      <c r="E749" s="79"/>
      <c r="F749" s="79"/>
      <c r="G749" s="79"/>
      <c r="H749" s="79"/>
      <c r="I749" s="79"/>
      <c r="J749" s="74"/>
      <c r="K749" s="80"/>
      <c r="L749" s="64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spans="1:27" ht="15.65" x14ac:dyDescent="0.3">
      <c r="A750" s="81"/>
      <c r="B750" s="82"/>
      <c r="C750" s="79"/>
      <c r="D750" s="79"/>
      <c r="E750" s="79"/>
      <c r="F750" s="79"/>
      <c r="G750" s="79"/>
      <c r="H750" s="79"/>
      <c r="I750" s="79"/>
      <c r="J750" s="74"/>
      <c r="K750" s="80"/>
      <c r="L750" s="64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spans="1:27" ht="15.65" x14ac:dyDescent="0.3">
      <c r="A751" s="81"/>
      <c r="B751" s="82"/>
      <c r="C751" s="79"/>
      <c r="D751" s="79"/>
      <c r="E751" s="79"/>
      <c r="F751" s="79"/>
      <c r="G751" s="79"/>
      <c r="H751" s="79"/>
      <c r="I751" s="79"/>
      <c r="J751" s="74"/>
      <c r="K751" s="80"/>
      <c r="L751" s="64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spans="1:27" ht="15.65" x14ac:dyDescent="0.3">
      <c r="A752" s="81"/>
      <c r="B752" s="82"/>
      <c r="C752" s="79"/>
      <c r="D752" s="79"/>
      <c r="E752" s="79"/>
      <c r="F752" s="79"/>
      <c r="G752" s="79"/>
      <c r="H752" s="79"/>
      <c r="I752" s="79"/>
      <c r="J752" s="74"/>
      <c r="K752" s="80"/>
      <c r="L752" s="64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spans="1:27" ht="15.65" x14ac:dyDescent="0.3">
      <c r="A753" s="81"/>
      <c r="B753" s="82"/>
      <c r="C753" s="79"/>
      <c r="D753" s="79"/>
      <c r="E753" s="79"/>
      <c r="F753" s="79"/>
      <c r="G753" s="79"/>
      <c r="H753" s="79"/>
      <c r="I753" s="79"/>
      <c r="J753" s="74"/>
      <c r="K753" s="80"/>
      <c r="L753" s="64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spans="1:27" ht="15.65" x14ac:dyDescent="0.3">
      <c r="A754" s="81"/>
      <c r="B754" s="82"/>
      <c r="C754" s="79"/>
      <c r="D754" s="79"/>
      <c r="E754" s="79"/>
      <c r="F754" s="79"/>
      <c r="G754" s="79"/>
      <c r="H754" s="79"/>
      <c r="I754" s="79"/>
      <c r="J754" s="74"/>
      <c r="K754" s="80"/>
      <c r="L754" s="64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spans="1:27" ht="15.65" x14ac:dyDescent="0.3">
      <c r="A755" s="81"/>
      <c r="B755" s="82"/>
      <c r="C755" s="79"/>
      <c r="D755" s="79"/>
      <c r="E755" s="79"/>
      <c r="F755" s="79"/>
      <c r="G755" s="79"/>
      <c r="H755" s="79"/>
      <c r="I755" s="79"/>
      <c r="J755" s="74"/>
      <c r="K755" s="80"/>
      <c r="L755" s="64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spans="1:27" ht="15.65" x14ac:dyDescent="0.3">
      <c r="A756" s="81"/>
      <c r="B756" s="82"/>
      <c r="C756" s="79"/>
      <c r="D756" s="79"/>
      <c r="E756" s="79"/>
      <c r="F756" s="79"/>
      <c r="G756" s="79"/>
      <c r="H756" s="79"/>
      <c r="I756" s="79"/>
      <c r="J756" s="74"/>
      <c r="K756" s="80"/>
      <c r="L756" s="64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spans="1:27" ht="15.65" x14ac:dyDescent="0.3">
      <c r="A757" s="81"/>
      <c r="B757" s="82"/>
      <c r="C757" s="79"/>
      <c r="D757" s="79"/>
      <c r="E757" s="79"/>
      <c r="F757" s="79"/>
      <c r="G757" s="79"/>
      <c r="H757" s="79"/>
      <c r="I757" s="79"/>
      <c r="J757" s="74"/>
      <c r="K757" s="80"/>
      <c r="L757" s="64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spans="1:27" ht="15.65" x14ac:dyDescent="0.3">
      <c r="A758" s="81"/>
      <c r="B758" s="82"/>
      <c r="C758" s="79"/>
      <c r="D758" s="79"/>
      <c r="E758" s="79"/>
      <c r="F758" s="79"/>
      <c r="G758" s="79"/>
      <c r="H758" s="79"/>
      <c r="I758" s="79"/>
      <c r="J758" s="74"/>
      <c r="K758" s="80"/>
      <c r="L758" s="64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spans="1:27" ht="15.65" x14ac:dyDescent="0.3">
      <c r="A759" s="81"/>
      <c r="B759" s="82"/>
      <c r="C759" s="79"/>
      <c r="D759" s="79"/>
      <c r="E759" s="79"/>
      <c r="F759" s="79"/>
      <c r="G759" s="79"/>
      <c r="H759" s="79"/>
      <c r="I759" s="79"/>
      <c r="J759" s="74"/>
      <c r="K759" s="80"/>
      <c r="L759" s="64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spans="1:27" ht="15.65" x14ac:dyDescent="0.3">
      <c r="A760" s="81"/>
      <c r="B760" s="82"/>
      <c r="C760" s="79"/>
      <c r="D760" s="79"/>
      <c r="E760" s="79"/>
      <c r="F760" s="79"/>
      <c r="G760" s="79"/>
      <c r="H760" s="79"/>
      <c r="I760" s="79"/>
      <c r="J760" s="74"/>
      <c r="K760" s="80"/>
      <c r="L760" s="64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spans="1:27" ht="15.65" x14ac:dyDescent="0.3">
      <c r="A761" s="81"/>
      <c r="B761" s="82"/>
      <c r="C761" s="79"/>
      <c r="D761" s="79"/>
      <c r="E761" s="79"/>
      <c r="F761" s="79"/>
      <c r="G761" s="79"/>
      <c r="H761" s="79"/>
      <c r="I761" s="79"/>
      <c r="J761" s="74"/>
      <c r="K761" s="80"/>
      <c r="L761" s="64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spans="1:27" ht="15.65" x14ac:dyDescent="0.3">
      <c r="A762" s="81"/>
      <c r="B762" s="82"/>
      <c r="C762" s="79"/>
      <c r="D762" s="79"/>
      <c r="E762" s="79"/>
      <c r="F762" s="79"/>
      <c r="G762" s="79"/>
      <c r="H762" s="79"/>
      <c r="I762" s="79"/>
      <c r="J762" s="74"/>
      <c r="K762" s="80"/>
      <c r="L762" s="64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spans="1:27" ht="15.65" x14ac:dyDescent="0.3">
      <c r="A763" s="81"/>
      <c r="B763" s="82"/>
      <c r="C763" s="79"/>
      <c r="D763" s="79"/>
      <c r="E763" s="79"/>
      <c r="F763" s="79"/>
      <c r="G763" s="79"/>
      <c r="H763" s="79"/>
      <c r="I763" s="79"/>
      <c r="J763" s="74"/>
      <c r="K763" s="80"/>
      <c r="L763" s="64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spans="1:27" ht="15.65" x14ac:dyDescent="0.3">
      <c r="A764" s="81"/>
      <c r="B764" s="82"/>
      <c r="C764" s="79"/>
      <c r="D764" s="79"/>
      <c r="E764" s="79"/>
      <c r="F764" s="79"/>
      <c r="G764" s="79"/>
      <c r="H764" s="79"/>
      <c r="I764" s="79"/>
      <c r="J764" s="74"/>
      <c r="K764" s="80"/>
      <c r="L764" s="64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spans="1:27" ht="15.65" x14ac:dyDescent="0.3">
      <c r="A765" s="81"/>
      <c r="B765" s="82"/>
      <c r="C765" s="79"/>
      <c r="D765" s="79"/>
      <c r="E765" s="79"/>
      <c r="F765" s="79"/>
      <c r="G765" s="79"/>
      <c r="H765" s="79"/>
      <c r="I765" s="79"/>
      <c r="J765" s="74"/>
      <c r="K765" s="80"/>
      <c r="L765" s="64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spans="1:27" ht="15.65" x14ac:dyDescent="0.3">
      <c r="A766" s="81"/>
      <c r="B766" s="82"/>
      <c r="C766" s="79"/>
      <c r="D766" s="79"/>
      <c r="E766" s="79"/>
      <c r="F766" s="79"/>
      <c r="G766" s="79"/>
      <c r="H766" s="79"/>
      <c r="I766" s="79"/>
      <c r="J766" s="74"/>
      <c r="K766" s="80"/>
      <c r="L766" s="64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spans="1:27" ht="15.65" x14ac:dyDescent="0.3">
      <c r="A767" s="81"/>
      <c r="B767" s="82"/>
      <c r="C767" s="79"/>
      <c r="D767" s="79"/>
      <c r="E767" s="79"/>
      <c r="F767" s="79"/>
      <c r="G767" s="79"/>
      <c r="H767" s="79"/>
      <c r="I767" s="79"/>
      <c r="J767" s="74"/>
      <c r="K767" s="80"/>
      <c r="L767" s="64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spans="1:27" ht="15.65" x14ac:dyDescent="0.3">
      <c r="A768" s="81"/>
      <c r="B768" s="82"/>
      <c r="C768" s="79"/>
      <c r="D768" s="79"/>
      <c r="E768" s="79"/>
      <c r="F768" s="79"/>
      <c r="G768" s="79"/>
      <c r="H768" s="79"/>
      <c r="I768" s="79"/>
      <c r="J768" s="74"/>
      <c r="K768" s="80"/>
      <c r="L768" s="64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spans="1:27" ht="15.65" x14ac:dyDescent="0.3">
      <c r="A769" s="81"/>
      <c r="B769" s="82"/>
      <c r="C769" s="79"/>
      <c r="D769" s="79"/>
      <c r="E769" s="79"/>
      <c r="F769" s="79"/>
      <c r="G769" s="79"/>
      <c r="H769" s="79"/>
      <c r="I769" s="79"/>
      <c r="J769" s="74"/>
      <c r="K769" s="80"/>
      <c r="L769" s="64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spans="1:27" ht="15.65" x14ac:dyDescent="0.3">
      <c r="A770" s="81"/>
      <c r="B770" s="82"/>
      <c r="C770" s="79"/>
      <c r="D770" s="79"/>
      <c r="E770" s="79"/>
      <c r="F770" s="79"/>
      <c r="G770" s="79"/>
      <c r="H770" s="79"/>
      <c r="I770" s="79"/>
      <c r="J770" s="74"/>
      <c r="K770" s="80"/>
      <c r="L770" s="64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spans="1:27" ht="15.65" x14ac:dyDescent="0.3">
      <c r="A771" s="81"/>
      <c r="B771" s="82"/>
      <c r="C771" s="79"/>
      <c r="D771" s="79"/>
      <c r="E771" s="79"/>
      <c r="F771" s="79"/>
      <c r="G771" s="79"/>
      <c r="H771" s="79"/>
      <c r="I771" s="79"/>
      <c r="J771" s="74"/>
      <c r="K771" s="80"/>
      <c r="L771" s="64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spans="1:27" ht="15.65" x14ac:dyDescent="0.3">
      <c r="A772" s="81"/>
      <c r="B772" s="82"/>
      <c r="C772" s="79"/>
      <c r="D772" s="79"/>
      <c r="E772" s="79"/>
      <c r="F772" s="79"/>
      <c r="G772" s="79"/>
      <c r="H772" s="79"/>
      <c r="I772" s="79"/>
      <c r="J772" s="74"/>
      <c r="K772" s="80"/>
      <c r="L772" s="64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spans="1:27" ht="15.65" x14ac:dyDescent="0.3">
      <c r="A773" s="81"/>
      <c r="B773" s="82"/>
      <c r="C773" s="79"/>
      <c r="D773" s="79"/>
      <c r="E773" s="79"/>
      <c r="F773" s="79"/>
      <c r="G773" s="79"/>
      <c r="H773" s="79"/>
      <c r="I773" s="79"/>
      <c r="J773" s="74"/>
      <c r="K773" s="80"/>
      <c r="L773" s="64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spans="1:27" ht="15.65" x14ac:dyDescent="0.3">
      <c r="A774" s="81"/>
      <c r="B774" s="82"/>
      <c r="C774" s="79"/>
      <c r="D774" s="79"/>
      <c r="E774" s="79"/>
      <c r="F774" s="79"/>
      <c r="G774" s="79"/>
      <c r="H774" s="79"/>
      <c r="I774" s="79"/>
      <c r="J774" s="74"/>
      <c r="K774" s="80"/>
      <c r="L774" s="64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spans="1:27" ht="15.65" x14ac:dyDescent="0.3">
      <c r="A775" s="81"/>
      <c r="B775" s="82"/>
      <c r="C775" s="79"/>
      <c r="D775" s="79"/>
      <c r="E775" s="79"/>
      <c r="F775" s="79"/>
      <c r="G775" s="79"/>
      <c r="H775" s="79"/>
      <c r="I775" s="79"/>
      <c r="J775" s="74"/>
      <c r="K775" s="80"/>
      <c r="L775" s="64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spans="1:27" ht="15.65" x14ac:dyDescent="0.3">
      <c r="A776" s="81"/>
      <c r="B776" s="82"/>
      <c r="C776" s="79"/>
      <c r="D776" s="79"/>
      <c r="E776" s="79"/>
      <c r="F776" s="79"/>
      <c r="G776" s="79"/>
      <c r="H776" s="79"/>
      <c r="I776" s="79"/>
      <c r="J776" s="74"/>
      <c r="K776" s="80"/>
      <c r="L776" s="64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spans="1:27" ht="15.65" x14ac:dyDescent="0.3">
      <c r="A777" s="81"/>
      <c r="B777" s="82"/>
      <c r="C777" s="79"/>
      <c r="D777" s="79"/>
      <c r="E777" s="79"/>
      <c r="F777" s="79"/>
      <c r="G777" s="79"/>
      <c r="H777" s="79"/>
      <c r="I777" s="79"/>
      <c r="J777" s="74"/>
      <c r="K777" s="80"/>
      <c r="L777" s="64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spans="1:27" ht="15.65" x14ac:dyDescent="0.3">
      <c r="A778" s="81"/>
      <c r="B778" s="82"/>
      <c r="C778" s="79"/>
      <c r="D778" s="79"/>
      <c r="E778" s="79"/>
      <c r="F778" s="79"/>
      <c r="G778" s="79"/>
      <c r="H778" s="79"/>
      <c r="I778" s="79"/>
      <c r="J778" s="74"/>
      <c r="K778" s="80"/>
      <c r="L778" s="64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spans="1:27" ht="15.65" x14ac:dyDescent="0.3">
      <c r="A779" s="81"/>
      <c r="B779" s="82"/>
      <c r="C779" s="79"/>
      <c r="D779" s="79"/>
      <c r="E779" s="79"/>
      <c r="F779" s="79"/>
      <c r="G779" s="79"/>
      <c r="H779" s="79"/>
      <c r="I779" s="79"/>
      <c r="J779" s="74"/>
      <c r="K779" s="80"/>
      <c r="L779" s="64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spans="1:27" ht="15.65" x14ac:dyDescent="0.3">
      <c r="A780" s="81"/>
      <c r="B780" s="82"/>
      <c r="C780" s="79"/>
      <c r="D780" s="79"/>
      <c r="E780" s="79"/>
      <c r="F780" s="79"/>
      <c r="G780" s="79"/>
      <c r="H780" s="79"/>
      <c r="I780" s="79"/>
      <c r="J780" s="74"/>
      <c r="K780" s="80"/>
      <c r="L780" s="64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spans="1:27" ht="15.65" x14ac:dyDescent="0.3">
      <c r="A781" s="81"/>
      <c r="B781" s="82"/>
      <c r="C781" s="79"/>
      <c r="D781" s="79"/>
      <c r="E781" s="79"/>
      <c r="F781" s="79"/>
      <c r="G781" s="79"/>
      <c r="H781" s="79"/>
      <c r="I781" s="79"/>
      <c r="J781" s="74"/>
      <c r="K781" s="80"/>
      <c r="L781" s="64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spans="1:27" ht="15.65" x14ac:dyDescent="0.3">
      <c r="A782" s="81"/>
      <c r="B782" s="82"/>
      <c r="C782" s="79"/>
      <c r="D782" s="79"/>
      <c r="E782" s="79"/>
      <c r="F782" s="79"/>
      <c r="G782" s="79"/>
      <c r="H782" s="79"/>
      <c r="I782" s="79"/>
      <c r="J782" s="74"/>
      <c r="K782" s="80"/>
      <c r="L782" s="64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spans="1:27" ht="15.65" x14ac:dyDescent="0.3">
      <c r="A783" s="81"/>
      <c r="B783" s="82"/>
      <c r="C783" s="79"/>
      <c r="D783" s="79"/>
      <c r="E783" s="79"/>
      <c r="F783" s="79"/>
      <c r="G783" s="79"/>
      <c r="H783" s="79"/>
      <c r="I783" s="79"/>
      <c r="J783" s="74"/>
      <c r="K783" s="80"/>
      <c r="L783" s="64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spans="1:27" ht="15.65" x14ac:dyDescent="0.3">
      <c r="A784" s="81"/>
      <c r="B784" s="82"/>
      <c r="C784" s="79"/>
      <c r="D784" s="79"/>
      <c r="E784" s="79"/>
      <c r="F784" s="79"/>
      <c r="G784" s="79"/>
      <c r="H784" s="79"/>
      <c r="I784" s="79"/>
      <c r="J784" s="74"/>
      <c r="K784" s="80"/>
      <c r="L784" s="64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spans="1:27" ht="15.65" x14ac:dyDescent="0.3">
      <c r="A785" s="81"/>
      <c r="B785" s="82"/>
      <c r="C785" s="79"/>
      <c r="D785" s="79"/>
      <c r="E785" s="79"/>
      <c r="F785" s="79"/>
      <c r="G785" s="79"/>
      <c r="H785" s="79"/>
      <c r="I785" s="79"/>
      <c r="J785" s="74"/>
      <c r="K785" s="80"/>
      <c r="L785" s="64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spans="1:27" ht="15.65" x14ac:dyDescent="0.3">
      <c r="A786" s="81"/>
      <c r="B786" s="82"/>
      <c r="C786" s="79"/>
      <c r="D786" s="79"/>
      <c r="E786" s="79"/>
      <c r="F786" s="79"/>
      <c r="G786" s="79"/>
      <c r="H786" s="79"/>
      <c r="I786" s="79"/>
      <c r="J786" s="74"/>
      <c r="K786" s="80"/>
      <c r="L786" s="64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spans="1:27" ht="15.65" x14ac:dyDescent="0.3">
      <c r="A787" s="81"/>
      <c r="B787" s="82"/>
      <c r="C787" s="79"/>
      <c r="D787" s="79"/>
      <c r="E787" s="79"/>
      <c r="F787" s="79"/>
      <c r="G787" s="79"/>
      <c r="H787" s="79"/>
      <c r="I787" s="79"/>
      <c r="J787" s="74"/>
      <c r="K787" s="80"/>
      <c r="L787" s="64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spans="1:27" ht="15.65" x14ac:dyDescent="0.3">
      <c r="A788" s="81"/>
      <c r="B788" s="82"/>
      <c r="C788" s="79"/>
      <c r="D788" s="79"/>
      <c r="E788" s="79"/>
      <c r="F788" s="79"/>
      <c r="G788" s="79"/>
      <c r="H788" s="79"/>
      <c r="I788" s="79"/>
      <c r="J788" s="74"/>
      <c r="K788" s="80"/>
      <c r="L788" s="64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spans="1:27" ht="15.65" x14ac:dyDescent="0.3">
      <c r="A789" s="81"/>
      <c r="B789" s="82"/>
      <c r="C789" s="79"/>
      <c r="D789" s="79"/>
      <c r="E789" s="79"/>
      <c r="F789" s="79"/>
      <c r="G789" s="79"/>
      <c r="H789" s="79"/>
      <c r="I789" s="79"/>
      <c r="J789" s="74"/>
      <c r="K789" s="80"/>
      <c r="L789" s="64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spans="1:27" ht="15.65" x14ac:dyDescent="0.3">
      <c r="A790" s="81"/>
      <c r="B790" s="82"/>
      <c r="C790" s="79"/>
      <c r="D790" s="79"/>
      <c r="E790" s="79"/>
      <c r="F790" s="79"/>
      <c r="G790" s="79"/>
      <c r="H790" s="79"/>
      <c r="I790" s="79"/>
      <c r="J790" s="74"/>
      <c r="K790" s="80"/>
      <c r="L790" s="64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spans="1:27" ht="15.65" x14ac:dyDescent="0.3">
      <c r="A791" s="81"/>
      <c r="B791" s="82"/>
      <c r="C791" s="79"/>
      <c r="D791" s="79"/>
      <c r="E791" s="79"/>
      <c r="F791" s="79"/>
      <c r="G791" s="79"/>
      <c r="H791" s="79"/>
      <c r="I791" s="79"/>
      <c r="J791" s="74"/>
      <c r="K791" s="80"/>
      <c r="L791" s="64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spans="1:27" ht="15.65" x14ac:dyDescent="0.3">
      <c r="A792" s="81"/>
      <c r="B792" s="82"/>
      <c r="C792" s="79"/>
      <c r="D792" s="79"/>
      <c r="E792" s="79"/>
      <c r="F792" s="79"/>
      <c r="G792" s="79"/>
      <c r="H792" s="79"/>
      <c r="I792" s="79"/>
      <c r="J792" s="74"/>
      <c r="K792" s="80"/>
      <c r="L792" s="64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spans="1:27" ht="15.65" x14ac:dyDescent="0.3">
      <c r="A793" s="81"/>
      <c r="B793" s="82"/>
      <c r="C793" s="79"/>
      <c r="D793" s="79"/>
      <c r="E793" s="79"/>
      <c r="F793" s="79"/>
      <c r="G793" s="79"/>
      <c r="H793" s="79"/>
      <c r="I793" s="79"/>
      <c r="J793" s="74"/>
      <c r="K793" s="80"/>
      <c r="L793" s="64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spans="1:27" ht="15.65" x14ac:dyDescent="0.3">
      <c r="A794" s="81"/>
      <c r="B794" s="82"/>
      <c r="C794" s="79"/>
      <c r="D794" s="79"/>
      <c r="E794" s="79"/>
      <c r="F794" s="79"/>
      <c r="G794" s="79"/>
      <c r="H794" s="79"/>
      <c r="I794" s="79"/>
      <c r="J794" s="74"/>
      <c r="K794" s="80"/>
      <c r="L794" s="64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spans="1:27" ht="15.65" x14ac:dyDescent="0.3">
      <c r="A795" s="81"/>
      <c r="B795" s="82"/>
      <c r="C795" s="79"/>
      <c r="D795" s="79"/>
      <c r="E795" s="79"/>
      <c r="F795" s="79"/>
      <c r="G795" s="79"/>
      <c r="H795" s="79"/>
      <c r="I795" s="79"/>
      <c r="J795" s="74"/>
      <c r="K795" s="80"/>
      <c r="L795" s="64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spans="1:27" ht="15.65" x14ac:dyDescent="0.3">
      <c r="A796" s="81"/>
      <c r="B796" s="82"/>
      <c r="C796" s="79"/>
      <c r="D796" s="79"/>
      <c r="E796" s="79"/>
      <c r="F796" s="79"/>
      <c r="G796" s="79"/>
      <c r="H796" s="79"/>
      <c r="I796" s="79"/>
      <c r="J796" s="74"/>
      <c r="K796" s="80"/>
      <c r="L796" s="64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spans="1:27" ht="15.65" x14ac:dyDescent="0.3">
      <c r="A797" s="81"/>
      <c r="B797" s="82"/>
      <c r="C797" s="79"/>
      <c r="D797" s="79"/>
      <c r="E797" s="79"/>
      <c r="F797" s="79"/>
      <c r="G797" s="79"/>
      <c r="H797" s="79"/>
      <c r="I797" s="79"/>
      <c r="J797" s="74"/>
      <c r="K797" s="80"/>
      <c r="L797" s="64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spans="1:27" ht="15.65" x14ac:dyDescent="0.3">
      <c r="A798" s="81"/>
      <c r="B798" s="82"/>
      <c r="C798" s="79"/>
      <c r="D798" s="79"/>
      <c r="E798" s="79"/>
      <c r="F798" s="79"/>
      <c r="G798" s="79"/>
      <c r="H798" s="79"/>
      <c r="I798" s="79"/>
      <c r="J798" s="74"/>
      <c r="K798" s="80"/>
      <c r="L798" s="64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spans="1:27" ht="15.65" x14ac:dyDescent="0.3">
      <c r="A799" s="81"/>
      <c r="B799" s="82"/>
      <c r="C799" s="79"/>
      <c r="D799" s="79"/>
      <c r="E799" s="79"/>
      <c r="F799" s="79"/>
      <c r="G799" s="79"/>
      <c r="H799" s="79"/>
      <c r="I799" s="79"/>
      <c r="J799" s="74"/>
      <c r="K799" s="80"/>
      <c r="L799" s="64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spans="1:27" ht="15.65" x14ac:dyDescent="0.3">
      <c r="A800" s="81"/>
      <c r="B800" s="82"/>
      <c r="C800" s="79"/>
      <c r="D800" s="79"/>
      <c r="E800" s="79"/>
      <c r="F800" s="79"/>
      <c r="G800" s="79"/>
      <c r="H800" s="79"/>
      <c r="I800" s="79"/>
      <c r="J800" s="74"/>
      <c r="K800" s="80"/>
      <c r="L800" s="64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spans="1:27" ht="15.65" x14ac:dyDescent="0.3">
      <c r="A801" s="81"/>
      <c r="B801" s="82"/>
      <c r="C801" s="79"/>
      <c r="D801" s="79"/>
      <c r="E801" s="79"/>
      <c r="F801" s="79"/>
      <c r="G801" s="79"/>
      <c r="H801" s="79"/>
      <c r="I801" s="79"/>
      <c r="J801" s="74"/>
      <c r="K801" s="80"/>
      <c r="L801" s="64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spans="1:27" ht="15.65" x14ac:dyDescent="0.3">
      <c r="A802" s="81"/>
      <c r="B802" s="82"/>
      <c r="C802" s="79"/>
      <c r="D802" s="79"/>
      <c r="E802" s="79"/>
      <c r="F802" s="79"/>
      <c r="G802" s="79"/>
      <c r="H802" s="79"/>
      <c r="I802" s="79"/>
      <c r="J802" s="74"/>
      <c r="K802" s="80"/>
      <c r="L802" s="64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spans="1:27" ht="15.65" x14ac:dyDescent="0.3">
      <c r="A803" s="81"/>
      <c r="B803" s="82"/>
      <c r="C803" s="79"/>
      <c r="D803" s="79"/>
      <c r="E803" s="79"/>
      <c r="F803" s="79"/>
      <c r="G803" s="79"/>
      <c r="H803" s="79"/>
      <c r="I803" s="79"/>
      <c r="J803" s="74"/>
      <c r="K803" s="80"/>
      <c r="L803" s="64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spans="1:27" ht="15.65" x14ac:dyDescent="0.3">
      <c r="A804" s="81"/>
      <c r="B804" s="82"/>
      <c r="C804" s="79"/>
      <c r="D804" s="79"/>
      <c r="E804" s="79"/>
      <c r="F804" s="79"/>
      <c r="G804" s="79"/>
      <c r="H804" s="79"/>
      <c r="I804" s="79"/>
      <c r="J804" s="74"/>
      <c r="K804" s="80"/>
      <c r="L804" s="64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spans="1:27" ht="15.65" x14ac:dyDescent="0.3">
      <c r="A805" s="81"/>
      <c r="B805" s="82"/>
      <c r="C805" s="79"/>
      <c r="D805" s="79"/>
      <c r="E805" s="79"/>
      <c r="F805" s="79"/>
      <c r="G805" s="79"/>
      <c r="H805" s="79"/>
      <c r="I805" s="79"/>
      <c r="J805" s="74"/>
      <c r="K805" s="80"/>
      <c r="L805" s="64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spans="1:27" ht="15.65" x14ac:dyDescent="0.3">
      <c r="A806" s="81"/>
      <c r="B806" s="82"/>
      <c r="C806" s="79"/>
      <c r="D806" s="79"/>
      <c r="E806" s="79"/>
      <c r="F806" s="79"/>
      <c r="G806" s="79"/>
      <c r="H806" s="79"/>
      <c r="I806" s="79"/>
      <c r="J806" s="74"/>
      <c r="K806" s="80"/>
      <c r="L806" s="64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spans="1:27" ht="15.65" x14ac:dyDescent="0.3">
      <c r="A807" s="81"/>
      <c r="B807" s="82"/>
      <c r="C807" s="79"/>
      <c r="D807" s="79"/>
      <c r="E807" s="79"/>
      <c r="F807" s="79"/>
      <c r="G807" s="79"/>
      <c r="H807" s="79"/>
      <c r="I807" s="79"/>
      <c r="J807" s="74"/>
      <c r="K807" s="80"/>
      <c r="L807" s="64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spans="1:27" ht="15.65" x14ac:dyDescent="0.3">
      <c r="A808" s="81"/>
      <c r="B808" s="82"/>
      <c r="C808" s="79"/>
      <c r="D808" s="79"/>
      <c r="E808" s="79"/>
      <c r="F808" s="79"/>
      <c r="G808" s="79"/>
      <c r="H808" s="79"/>
      <c r="I808" s="79"/>
      <c r="J808" s="74"/>
      <c r="K808" s="80"/>
      <c r="L808" s="64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spans="1:27" ht="15.65" x14ac:dyDescent="0.3">
      <c r="A809" s="81"/>
      <c r="B809" s="82"/>
      <c r="C809" s="79"/>
      <c r="D809" s="79"/>
      <c r="E809" s="79"/>
      <c r="F809" s="79"/>
      <c r="G809" s="79"/>
      <c r="H809" s="79"/>
      <c r="I809" s="79"/>
      <c r="J809" s="74"/>
      <c r="K809" s="80"/>
      <c r="L809" s="64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spans="1:27" ht="15.65" x14ac:dyDescent="0.3">
      <c r="A810" s="81"/>
      <c r="B810" s="82"/>
      <c r="C810" s="79"/>
      <c r="D810" s="79"/>
      <c r="E810" s="79"/>
      <c r="F810" s="79"/>
      <c r="G810" s="79"/>
      <c r="H810" s="79"/>
      <c r="I810" s="79"/>
      <c r="J810" s="74"/>
      <c r="K810" s="80"/>
      <c r="L810" s="64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spans="1:27" ht="15.65" x14ac:dyDescent="0.3">
      <c r="A811" s="81"/>
      <c r="B811" s="82"/>
      <c r="C811" s="79"/>
      <c r="D811" s="79"/>
      <c r="E811" s="79"/>
      <c r="F811" s="79"/>
      <c r="G811" s="79"/>
      <c r="H811" s="79"/>
      <c r="I811" s="79"/>
      <c r="J811" s="74"/>
      <c r="K811" s="80"/>
      <c r="L811" s="64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spans="1:27" ht="15.65" x14ac:dyDescent="0.3">
      <c r="A812" s="81"/>
      <c r="B812" s="82"/>
      <c r="C812" s="79"/>
      <c r="D812" s="79"/>
      <c r="E812" s="79"/>
      <c r="F812" s="79"/>
      <c r="G812" s="79"/>
      <c r="H812" s="79"/>
      <c r="I812" s="79"/>
      <c r="J812" s="74"/>
      <c r="K812" s="80"/>
      <c r="L812" s="64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spans="1:27" ht="15.65" x14ac:dyDescent="0.3">
      <c r="A813" s="81"/>
      <c r="B813" s="82"/>
      <c r="C813" s="79"/>
      <c r="D813" s="79"/>
      <c r="E813" s="79"/>
      <c r="F813" s="79"/>
      <c r="G813" s="79"/>
      <c r="H813" s="79"/>
      <c r="I813" s="79"/>
      <c r="J813" s="74"/>
      <c r="K813" s="80"/>
      <c r="L813" s="64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spans="1:27" ht="15.65" x14ac:dyDescent="0.3">
      <c r="A814" s="81"/>
      <c r="B814" s="82"/>
      <c r="C814" s="79"/>
      <c r="D814" s="79"/>
      <c r="E814" s="79"/>
      <c r="F814" s="79"/>
      <c r="G814" s="79"/>
      <c r="H814" s="79"/>
      <c r="I814" s="79"/>
      <c r="J814" s="74"/>
      <c r="K814" s="80"/>
      <c r="L814" s="64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spans="1:27" ht="15.65" x14ac:dyDescent="0.3">
      <c r="A815" s="81"/>
      <c r="B815" s="82"/>
      <c r="C815" s="79"/>
      <c r="D815" s="79"/>
      <c r="E815" s="79"/>
      <c r="F815" s="79"/>
      <c r="G815" s="79"/>
      <c r="H815" s="79"/>
      <c r="I815" s="79"/>
      <c r="J815" s="74"/>
      <c r="K815" s="80"/>
      <c r="L815" s="64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spans="1:27" ht="15.65" x14ac:dyDescent="0.3">
      <c r="A816" s="81"/>
      <c r="B816" s="82"/>
      <c r="C816" s="79"/>
      <c r="D816" s="79"/>
      <c r="E816" s="79"/>
      <c r="F816" s="79"/>
      <c r="G816" s="79"/>
      <c r="H816" s="79"/>
      <c r="I816" s="79"/>
      <c r="J816" s="74"/>
      <c r="K816" s="80"/>
      <c r="L816" s="64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spans="1:27" ht="15.65" x14ac:dyDescent="0.3">
      <c r="A817" s="81"/>
      <c r="B817" s="82"/>
      <c r="C817" s="79"/>
      <c r="D817" s="79"/>
      <c r="E817" s="79"/>
      <c r="F817" s="79"/>
      <c r="G817" s="79"/>
      <c r="H817" s="79"/>
      <c r="I817" s="79"/>
      <c r="J817" s="74"/>
      <c r="K817" s="80"/>
      <c r="L817" s="64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spans="1:27" ht="15.65" x14ac:dyDescent="0.3">
      <c r="A818" s="81"/>
      <c r="B818" s="82"/>
      <c r="C818" s="79"/>
      <c r="D818" s="79"/>
      <c r="E818" s="79"/>
      <c r="F818" s="79"/>
      <c r="G818" s="79"/>
      <c r="H818" s="79"/>
      <c r="I818" s="79"/>
      <c r="J818" s="74"/>
      <c r="K818" s="80"/>
      <c r="L818" s="64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spans="1:27" ht="15.65" x14ac:dyDescent="0.3">
      <c r="A819" s="81"/>
      <c r="B819" s="82"/>
      <c r="C819" s="79"/>
      <c r="D819" s="79"/>
      <c r="E819" s="79"/>
      <c r="F819" s="79"/>
      <c r="G819" s="79"/>
      <c r="H819" s="79"/>
      <c r="I819" s="79"/>
      <c r="J819" s="74"/>
      <c r="K819" s="80"/>
      <c r="L819" s="64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spans="1:27" ht="15.65" x14ac:dyDescent="0.3">
      <c r="A820" s="81"/>
      <c r="B820" s="82"/>
      <c r="C820" s="79"/>
      <c r="D820" s="79"/>
      <c r="E820" s="79"/>
      <c r="F820" s="79"/>
      <c r="G820" s="79"/>
      <c r="H820" s="79"/>
      <c r="I820" s="79"/>
      <c r="J820" s="74"/>
      <c r="K820" s="80"/>
      <c r="L820" s="64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spans="1:27" ht="15.65" x14ac:dyDescent="0.3">
      <c r="A821" s="81"/>
      <c r="B821" s="82"/>
      <c r="C821" s="79"/>
      <c r="D821" s="79"/>
      <c r="E821" s="79"/>
      <c r="F821" s="79"/>
      <c r="G821" s="79"/>
      <c r="H821" s="79"/>
      <c r="I821" s="79"/>
      <c r="J821" s="74"/>
      <c r="K821" s="80"/>
      <c r="L821" s="64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spans="1:27" ht="15.65" x14ac:dyDescent="0.3">
      <c r="A822" s="81"/>
      <c r="B822" s="82"/>
      <c r="C822" s="79"/>
      <c r="D822" s="79"/>
      <c r="E822" s="79"/>
      <c r="F822" s="79"/>
      <c r="G822" s="79"/>
      <c r="H822" s="79"/>
      <c r="I822" s="79"/>
      <c r="J822" s="74"/>
      <c r="K822" s="80"/>
      <c r="L822" s="64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spans="1:27" ht="15.65" x14ac:dyDescent="0.3">
      <c r="A823" s="81"/>
      <c r="B823" s="82"/>
      <c r="C823" s="79"/>
      <c r="D823" s="79"/>
      <c r="E823" s="79"/>
      <c r="F823" s="79"/>
      <c r="G823" s="79"/>
      <c r="H823" s="79"/>
      <c r="I823" s="79"/>
      <c r="J823" s="74"/>
      <c r="K823" s="80"/>
      <c r="L823" s="64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spans="1:27" ht="15.65" x14ac:dyDescent="0.3">
      <c r="A824" s="81"/>
      <c r="B824" s="82"/>
      <c r="C824" s="79"/>
      <c r="D824" s="79"/>
      <c r="E824" s="79"/>
      <c r="F824" s="79"/>
      <c r="G824" s="79"/>
      <c r="H824" s="79"/>
      <c r="I824" s="79"/>
      <c r="J824" s="74"/>
      <c r="K824" s="80"/>
      <c r="L824" s="64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spans="1:27" ht="15.65" x14ac:dyDescent="0.3">
      <c r="A825" s="81"/>
      <c r="B825" s="82"/>
      <c r="C825" s="79"/>
      <c r="D825" s="79"/>
      <c r="E825" s="79"/>
      <c r="F825" s="79"/>
      <c r="G825" s="79"/>
      <c r="H825" s="79"/>
      <c r="I825" s="79"/>
      <c r="J825" s="74"/>
      <c r="K825" s="80"/>
      <c r="L825" s="64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spans="1:27" ht="15.65" x14ac:dyDescent="0.3">
      <c r="A826" s="81"/>
      <c r="B826" s="82"/>
      <c r="C826" s="79"/>
      <c r="D826" s="79"/>
      <c r="E826" s="79"/>
      <c r="F826" s="79"/>
      <c r="G826" s="79"/>
      <c r="H826" s="79"/>
      <c r="I826" s="79"/>
      <c r="J826" s="74"/>
      <c r="K826" s="80"/>
      <c r="L826" s="64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spans="1:27" ht="15.65" x14ac:dyDescent="0.3">
      <c r="A827" s="81"/>
      <c r="B827" s="82"/>
      <c r="C827" s="79"/>
      <c r="D827" s="79"/>
      <c r="E827" s="79"/>
      <c r="F827" s="79"/>
      <c r="G827" s="79"/>
      <c r="H827" s="79"/>
      <c r="I827" s="79"/>
      <c r="J827" s="74"/>
      <c r="K827" s="80"/>
      <c r="L827" s="64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spans="1:27" ht="15.65" x14ac:dyDescent="0.3">
      <c r="A828" s="81"/>
      <c r="B828" s="82"/>
      <c r="C828" s="79"/>
      <c r="D828" s="79"/>
      <c r="E828" s="79"/>
      <c r="F828" s="79"/>
      <c r="G828" s="79"/>
      <c r="H828" s="79"/>
      <c r="I828" s="79"/>
      <c r="J828" s="74"/>
      <c r="K828" s="80"/>
      <c r="L828" s="64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spans="1:27" ht="15.65" x14ac:dyDescent="0.3">
      <c r="A829" s="81"/>
      <c r="B829" s="82"/>
      <c r="C829" s="79"/>
      <c r="D829" s="79"/>
      <c r="E829" s="79"/>
      <c r="F829" s="79"/>
      <c r="G829" s="79"/>
      <c r="H829" s="79"/>
      <c r="I829" s="79"/>
      <c r="J829" s="74"/>
      <c r="K829" s="80"/>
      <c r="L829" s="64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spans="1:27" ht="15.65" x14ac:dyDescent="0.3">
      <c r="A830" s="81"/>
      <c r="B830" s="82"/>
      <c r="C830" s="79"/>
      <c r="D830" s="79"/>
      <c r="E830" s="79"/>
      <c r="F830" s="79"/>
      <c r="G830" s="79"/>
      <c r="H830" s="79"/>
      <c r="I830" s="79"/>
      <c r="J830" s="74"/>
      <c r="K830" s="80"/>
      <c r="L830" s="64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spans="1:27" ht="15.65" x14ac:dyDescent="0.3">
      <c r="A831" s="81"/>
      <c r="B831" s="82"/>
      <c r="C831" s="79"/>
      <c r="D831" s="79"/>
      <c r="E831" s="79"/>
      <c r="F831" s="79"/>
      <c r="G831" s="79"/>
      <c r="H831" s="79"/>
      <c r="I831" s="79"/>
      <c r="J831" s="74"/>
      <c r="K831" s="80"/>
      <c r="L831" s="64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spans="1:27" ht="15.65" x14ac:dyDescent="0.3">
      <c r="A832" s="81"/>
      <c r="B832" s="82"/>
      <c r="C832" s="79"/>
      <c r="D832" s="79"/>
      <c r="E832" s="79"/>
      <c r="F832" s="79"/>
      <c r="G832" s="79"/>
      <c r="H832" s="79"/>
      <c r="I832" s="79"/>
      <c r="J832" s="74"/>
      <c r="K832" s="80"/>
      <c r="L832" s="64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spans="1:27" ht="15.65" x14ac:dyDescent="0.3">
      <c r="A833" s="81"/>
      <c r="B833" s="82"/>
      <c r="C833" s="79"/>
      <c r="D833" s="79"/>
      <c r="E833" s="79"/>
      <c r="F833" s="79"/>
      <c r="G833" s="79"/>
      <c r="H833" s="79"/>
      <c r="I833" s="79"/>
      <c r="J833" s="74"/>
      <c r="K833" s="80"/>
      <c r="L833" s="64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spans="1:27" ht="15.65" x14ac:dyDescent="0.3">
      <c r="A834" s="81"/>
      <c r="B834" s="82"/>
      <c r="C834" s="79"/>
      <c r="D834" s="79"/>
      <c r="E834" s="79"/>
      <c r="F834" s="79"/>
      <c r="G834" s="79"/>
      <c r="H834" s="79"/>
      <c r="I834" s="79"/>
      <c r="J834" s="74"/>
      <c r="K834" s="80"/>
      <c r="L834" s="64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spans="1:27" ht="15.65" x14ac:dyDescent="0.3">
      <c r="A835" s="81"/>
      <c r="B835" s="82"/>
      <c r="C835" s="79"/>
      <c r="D835" s="79"/>
      <c r="E835" s="79"/>
      <c r="F835" s="79"/>
      <c r="G835" s="79"/>
      <c r="H835" s="79"/>
      <c r="I835" s="79"/>
      <c r="J835" s="74"/>
      <c r="K835" s="80"/>
      <c r="L835" s="64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spans="1:27" ht="15.65" x14ac:dyDescent="0.3">
      <c r="A836" s="81"/>
      <c r="B836" s="82"/>
      <c r="C836" s="79"/>
      <c r="D836" s="79"/>
      <c r="E836" s="79"/>
      <c r="F836" s="79"/>
      <c r="G836" s="79"/>
      <c r="H836" s="79"/>
      <c r="I836" s="79"/>
      <c r="J836" s="74"/>
      <c r="K836" s="80"/>
      <c r="L836" s="64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spans="1:27" ht="15.65" x14ac:dyDescent="0.3">
      <c r="A837" s="81"/>
      <c r="B837" s="82"/>
      <c r="C837" s="79"/>
      <c r="D837" s="79"/>
      <c r="E837" s="79"/>
      <c r="F837" s="79"/>
      <c r="G837" s="79"/>
      <c r="H837" s="79"/>
      <c r="I837" s="79"/>
      <c r="J837" s="74"/>
      <c r="K837" s="80"/>
      <c r="L837" s="64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spans="1:27" ht="15.65" x14ac:dyDescent="0.3">
      <c r="A838" s="81"/>
      <c r="B838" s="82"/>
      <c r="C838" s="79"/>
      <c r="D838" s="79"/>
      <c r="E838" s="79"/>
      <c r="F838" s="79"/>
      <c r="G838" s="79"/>
      <c r="H838" s="79"/>
      <c r="I838" s="79"/>
      <c r="J838" s="74"/>
      <c r="K838" s="80"/>
      <c r="L838" s="64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spans="1:27" ht="15.65" x14ac:dyDescent="0.3">
      <c r="A839" s="81"/>
      <c r="B839" s="82"/>
      <c r="C839" s="79"/>
      <c r="D839" s="79"/>
      <c r="E839" s="79"/>
      <c r="F839" s="79"/>
      <c r="G839" s="79"/>
      <c r="H839" s="79"/>
      <c r="I839" s="79"/>
      <c r="J839" s="74"/>
      <c r="K839" s="80"/>
      <c r="L839" s="64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spans="1:27" ht="15.65" x14ac:dyDescent="0.3">
      <c r="A840" s="81"/>
      <c r="B840" s="82"/>
      <c r="C840" s="79"/>
      <c r="D840" s="79"/>
      <c r="E840" s="79"/>
      <c r="F840" s="79"/>
      <c r="G840" s="79"/>
      <c r="H840" s="79"/>
      <c r="I840" s="79"/>
      <c r="J840" s="74"/>
      <c r="K840" s="80"/>
      <c r="L840" s="64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spans="1:27" ht="15.65" x14ac:dyDescent="0.3">
      <c r="A841" s="81"/>
      <c r="B841" s="82"/>
      <c r="C841" s="79"/>
      <c r="D841" s="79"/>
      <c r="E841" s="79"/>
      <c r="F841" s="79"/>
      <c r="G841" s="79"/>
      <c r="H841" s="79"/>
      <c r="I841" s="79"/>
      <c r="J841" s="74"/>
      <c r="K841" s="80"/>
      <c r="L841" s="64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spans="1:27" ht="15.65" x14ac:dyDescent="0.3">
      <c r="A842" s="81"/>
      <c r="B842" s="82"/>
      <c r="C842" s="79"/>
      <c r="D842" s="79"/>
      <c r="E842" s="79"/>
      <c r="F842" s="79"/>
      <c r="G842" s="79"/>
      <c r="H842" s="79"/>
      <c r="I842" s="79"/>
      <c r="J842" s="74"/>
      <c r="K842" s="80"/>
      <c r="L842" s="64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spans="1:27" ht="15.65" x14ac:dyDescent="0.3">
      <c r="A843" s="81"/>
      <c r="B843" s="82"/>
      <c r="C843" s="79"/>
      <c r="D843" s="79"/>
      <c r="E843" s="79"/>
      <c r="F843" s="79"/>
      <c r="G843" s="79"/>
      <c r="H843" s="79"/>
      <c r="I843" s="79"/>
      <c r="J843" s="74"/>
      <c r="K843" s="80"/>
      <c r="L843" s="64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spans="1:27" ht="15.65" x14ac:dyDescent="0.3">
      <c r="A844" s="81"/>
      <c r="B844" s="82"/>
      <c r="C844" s="79"/>
      <c r="D844" s="79"/>
      <c r="E844" s="79"/>
      <c r="F844" s="79"/>
      <c r="G844" s="79"/>
      <c r="H844" s="79"/>
      <c r="I844" s="79"/>
      <c r="J844" s="74"/>
      <c r="K844" s="80"/>
      <c r="L844" s="64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spans="1:27" ht="15.65" x14ac:dyDescent="0.3">
      <c r="A845" s="81"/>
      <c r="B845" s="82"/>
      <c r="C845" s="79"/>
      <c r="D845" s="79"/>
      <c r="E845" s="79"/>
      <c r="F845" s="79"/>
      <c r="G845" s="79"/>
      <c r="H845" s="79"/>
      <c r="I845" s="79"/>
      <c r="J845" s="74"/>
      <c r="K845" s="80"/>
      <c r="L845" s="64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spans="1:27" ht="15.65" x14ac:dyDescent="0.3">
      <c r="A846" s="81"/>
      <c r="B846" s="82"/>
      <c r="C846" s="79"/>
      <c r="D846" s="79"/>
      <c r="E846" s="79"/>
      <c r="F846" s="79"/>
      <c r="G846" s="79"/>
      <c r="H846" s="79"/>
      <c r="I846" s="79"/>
      <c r="J846" s="74"/>
      <c r="K846" s="80"/>
      <c r="L846" s="64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spans="1:27" ht="15.65" x14ac:dyDescent="0.3">
      <c r="A847" s="81"/>
      <c r="B847" s="82"/>
      <c r="C847" s="79"/>
      <c r="D847" s="79"/>
      <c r="E847" s="79"/>
      <c r="F847" s="79"/>
      <c r="G847" s="79"/>
      <c r="H847" s="79"/>
      <c r="I847" s="79"/>
      <c r="J847" s="74"/>
      <c r="K847" s="80"/>
      <c r="L847" s="64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spans="1:27" ht="15.65" x14ac:dyDescent="0.3">
      <c r="A848" s="81"/>
      <c r="B848" s="82"/>
      <c r="C848" s="79"/>
      <c r="D848" s="79"/>
      <c r="E848" s="79"/>
      <c r="F848" s="79"/>
      <c r="G848" s="79"/>
      <c r="H848" s="79"/>
      <c r="I848" s="79"/>
      <c r="J848" s="74"/>
      <c r="K848" s="80"/>
      <c r="L848" s="64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spans="1:27" ht="15.65" x14ac:dyDescent="0.3">
      <c r="A849" s="81"/>
      <c r="B849" s="82"/>
      <c r="C849" s="79"/>
      <c r="D849" s="79"/>
      <c r="E849" s="79"/>
      <c r="F849" s="79"/>
      <c r="G849" s="79"/>
      <c r="H849" s="79"/>
      <c r="I849" s="79"/>
      <c r="J849" s="74"/>
      <c r="K849" s="80"/>
      <c r="L849" s="64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spans="1:27" ht="15.65" x14ac:dyDescent="0.3">
      <c r="A850" s="81"/>
      <c r="B850" s="82"/>
      <c r="C850" s="79"/>
      <c r="D850" s="79"/>
      <c r="E850" s="79"/>
      <c r="F850" s="79"/>
      <c r="G850" s="79"/>
      <c r="H850" s="79"/>
      <c r="I850" s="79"/>
      <c r="J850" s="74"/>
      <c r="K850" s="80"/>
      <c r="L850" s="64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spans="1:27" ht="15.65" x14ac:dyDescent="0.3">
      <c r="A851" s="81"/>
      <c r="B851" s="82"/>
      <c r="C851" s="79"/>
      <c r="D851" s="79"/>
      <c r="E851" s="79"/>
      <c r="F851" s="79"/>
      <c r="G851" s="79"/>
      <c r="H851" s="79"/>
      <c r="I851" s="79"/>
      <c r="J851" s="74"/>
      <c r="K851" s="80"/>
      <c r="L851" s="64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spans="1:27" ht="15.65" x14ac:dyDescent="0.3">
      <c r="A852" s="81"/>
      <c r="B852" s="82"/>
      <c r="C852" s="79"/>
      <c r="D852" s="79"/>
      <c r="E852" s="79"/>
      <c r="F852" s="79"/>
      <c r="G852" s="79"/>
      <c r="H852" s="79"/>
      <c r="I852" s="79"/>
      <c r="J852" s="74"/>
      <c r="K852" s="80"/>
      <c r="L852" s="64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spans="1:27" ht="15.65" x14ac:dyDescent="0.3">
      <c r="A853" s="81"/>
      <c r="B853" s="82"/>
      <c r="C853" s="79"/>
      <c r="D853" s="79"/>
      <c r="E853" s="79"/>
      <c r="F853" s="79"/>
      <c r="G853" s="79"/>
      <c r="H853" s="79"/>
      <c r="I853" s="79"/>
      <c r="J853" s="74"/>
      <c r="K853" s="80"/>
      <c r="L853" s="64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spans="1:27" ht="15.65" x14ac:dyDescent="0.3">
      <c r="A854" s="81"/>
      <c r="B854" s="82"/>
      <c r="C854" s="79"/>
      <c r="D854" s="79"/>
      <c r="E854" s="79"/>
      <c r="F854" s="79"/>
      <c r="G854" s="79"/>
      <c r="H854" s="79"/>
      <c r="I854" s="79"/>
      <c r="J854" s="74"/>
      <c r="K854" s="80"/>
      <c r="L854" s="64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spans="1:27" ht="15.65" x14ac:dyDescent="0.3">
      <c r="A855" s="81"/>
      <c r="B855" s="82"/>
      <c r="C855" s="79"/>
      <c r="D855" s="79"/>
      <c r="E855" s="79"/>
      <c r="F855" s="79"/>
      <c r="G855" s="79"/>
      <c r="H855" s="79"/>
      <c r="I855" s="79"/>
      <c r="J855" s="74"/>
      <c r="K855" s="80"/>
      <c r="L855" s="64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spans="1:27" ht="15.65" x14ac:dyDescent="0.3">
      <c r="A856" s="81"/>
      <c r="B856" s="82"/>
      <c r="C856" s="79"/>
      <c r="D856" s="79"/>
      <c r="E856" s="79"/>
      <c r="F856" s="79"/>
      <c r="G856" s="79"/>
      <c r="H856" s="79"/>
      <c r="I856" s="79"/>
      <c r="J856" s="74"/>
      <c r="K856" s="80"/>
      <c r="L856" s="64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spans="1:27" ht="15.65" x14ac:dyDescent="0.3">
      <c r="A857" s="81"/>
      <c r="B857" s="82"/>
      <c r="C857" s="79"/>
      <c r="D857" s="79"/>
      <c r="E857" s="79"/>
      <c r="F857" s="79"/>
      <c r="G857" s="79"/>
      <c r="H857" s="79"/>
      <c r="I857" s="79"/>
      <c r="J857" s="74"/>
      <c r="K857" s="80"/>
      <c r="L857" s="64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spans="1:27" ht="15.65" x14ac:dyDescent="0.3">
      <c r="A858" s="81"/>
      <c r="B858" s="82"/>
      <c r="C858" s="79"/>
      <c r="D858" s="79"/>
      <c r="E858" s="79"/>
      <c r="F858" s="79"/>
      <c r="G858" s="79"/>
      <c r="H858" s="79"/>
      <c r="I858" s="79"/>
      <c r="J858" s="74"/>
      <c r="K858" s="80"/>
      <c r="L858" s="64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spans="1:27" ht="15.65" x14ac:dyDescent="0.3">
      <c r="A859" s="81"/>
      <c r="B859" s="82"/>
      <c r="C859" s="79"/>
      <c r="D859" s="79"/>
      <c r="E859" s="79"/>
      <c r="F859" s="79"/>
      <c r="G859" s="79"/>
      <c r="H859" s="79"/>
      <c r="I859" s="79"/>
      <c r="J859" s="74"/>
      <c r="K859" s="80"/>
      <c r="L859" s="64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spans="1:27" ht="15.65" x14ac:dyDescent="0.3">
      <c r="A860" s="81"/>
      <c r="B860" s="82"/>
      <c r="C860" s="79"/>
      <c r="D860" s="79"/>
      <c r="E860" s="79"/>
      <c r="F860" s="79"/>
      <c r="G860" s="79"/>
      <c r="H860" s="79"/>
      <c r="I860" s="79"/>
      <c r="J860" s="74"/>
      <c r="K860" s="80"/>
      <c r="L860" s="64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spans="1:27" ht="15.65" x14ac:dyDescent="0.3">
      <c r="A861" s="81"/>
      <c r="B861" s="82"/>
      <c r="C861" s="79"/>
      <c r="D861" s="79"/>
      <c r="E861" s="79"/>
      <c r="F861" s="79"/>
      <c r="G861" s="79"/>
      <c r="H861" s="79"/>
      <c r="I861" s="79"/>
      <c r="J861" s="74"/>
      <c r="K861" s="80"/>
      <c r="L861" s="64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spans="1:27" ht="15.65" x14ac:dyDescent="0.3">
      <c r="A862" s="81"/>
      <c r="B862" s="82"/>
      <c r="C862" s="79"/>
      <c r="D862" s="79"/>
      <c r="E862" s="79"/>
      <c r="F862" s="79"/>
      <c r="G862" s="79"/>
      <c r="H862" s="79"/>
      <c r="I862" s="79"/>
      <c r="J862" s="74"/>
      <c r="K862" s="80"/>
      <c r="L862" s="64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spans="1:27" ht="15.65" x14ac:dyDescent="0.3">
      <c r="A863" s="81"/>
      <c r="B863" s="82"/>
      <c r="C863" s="79"/>
      <c r="D863" s="79"/>
      <c r="E863" s="79"/>
      <c r="F863" s="79"/>
      <c r="G863" s="79"/>
      <c r="H863" s="79"/>
      <c r="I863" s="79"/>
      <c r="J863" s="74"/>
      <c r="K863" s="80"/>
      <c r="L863" s="64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spans="1:27" ht="15.65" x14ac:dyDescent="0.3">
      <c r="A864" s="81"/>
      <c r="B864" s="82"/>
      <c r="C864" s="79"/>
      <c r="D864" s="79"/>
      <c r="E864" s="79"/>
      <c r="F864" s="79"/>
      <c r="G864" s="79"/>
      <c r="H864" s="79"/>
      <c r="I864" s="79"/>
      <c r="J864" s="74"/>
      <c r="K864" s="80"/>
      <c r="L864" s="64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spans="1:27" ht="15.65" x14ac:dyDescent="0.3">
      <c r="A865" s="81"/>
      <c r="B865" s="82"/>
      <c r="C865" s="79"/>
      <c r="D865" s="79"/>
      <c r="E865" s="79"/>
      <c r="F865" s="79"/>
      <c r="G865" s="79"/>
      <c r="H865" s="79"/>
      <c r="I865" s="79"/>
      <c r="J865" s="74"/>
      <c r="K865" s="80"/>
      <c r="L865" s="64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spans="1:27" ht="15.65" x14ac:dyDescent="0.3">
      <c r="A866" s="81"/>
      <c r="B866" s="82"/>
      <c r="C866" s="79"/>
      <c r="D866" s="79"/>
      <c r="E866" s="79"/>
      <c r="F866" s="79"/>
      <c r="G866" s="79"/>
      <c r="H866" s="79"/>
      <c r="I866" s="79"/>
      <c r="J866" s="74"/>
      <c r="K866" s="80"/>
      <c r="L866" s="64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spans="1:27" ht="15.65" x14ac:dyDescent="0.3">
      <c r="A867" s="81"/>
      <c r="B867" s="82"/>
      <c r="C867" s="79"/>
      <c r="D867" s="79"/>
      <c r="E867" s="79"/>
      <c r="F867" s="79"/>
      <c r="G867" s="79"/>
      <c r="H867" s="79"/>
      <c r="I867" s="79"/>
      <c r="J867" s="74"/>
      <c r="K867" s="80"/>
      <c r="L867" s="64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spans="1:27" ht="15.65" x14ac:dyDescent="0.3">
      <c r="A868" s="81"/>
      <c r="B868" s="82"/>
      <c r="C868" s="79"/>
      <c r="D868" s="79"/>
      <c r="E868" s="79"/>
      <c r="F868" s="79"/>
      <c r="G868" s="79"/>
      <c r="H868" s="79"/>
      <c r="I868" s="79"/>
      <c r="J868" s="74"/>
      <c r="K868" s="80"/>
      <c r="L868" s="64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spans="1:27" ht="15.65" x14ac:dyDescent="0.3">
      <c r="A869" s="81"/>
      <c r="B869" s="82"/>
      <c r="C869" s="79"/>
      <c r="D869" s="79"/>
      <c r="E869" s="79"/>
      <c r="F869" s="79"/>
      <c r="G869" s="79"/>
      <c r="H869" s="79"/>
      <c r="I869" s="79"/>
      <c r="J869" s="74"/>
      <c r="K869" s="80"/>
      <c r="L869" s="64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spans="1:27" ht="15.65" x14ac:dyDescent="0.3">
      <c r="A870" s="81"/>
      <c r="B870" s="82"/>
      <c r="C870" s="79"/>
      <c r="D870" s="79"/>
      <c r="E870" s="79"/>
      <c r="F870" s="79"/>
      <c r="G870" s="79"/>
      <c r="H870" s="79"/>
      <c r="I870" s="79"/>
      <c r="J870" s="74"/>
      <c r="K870" s="80"/>
      <c r="L870" s="64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spans="1:27" ht="15.65" x14ac:dyDescent="0.3">
      <c r="A871" s="81"/>
      <c r="B871" s="82"/>
      <c r="C871" s="79"/>
      <c r="D871" s="79"/>
      <c r="E871" s="79"/>
      <c r="F871" s="79"/>
      <c r="G871" s="79"/>
      <c r="H871" s="79"/>
      <c r="I871" s="79"/>
      <c r="J871" s="74"/>
      <c r="K871" s="80"/>
      <c r="L871" s="64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spans="1:27" ht="15.65" x14ac:dyDescent="0.3">
      <c r="A872" s="81"/>
      <c r="B872" s="82"/>
      <c r="C872" s="79"/>
      <c r="D872" s="79"/>
      <c r="E872" s="79"/>
      <c r="F872" s="79"/>
      <c r="G872" s="79"/>
      <c r="H872" s="79"/>
      <c r="I872" s="79"/>
      <c r="J872" s="74"/>
      <c r="K872" s="80"/>
      <c r="L872" s="64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spans="1:27" ht="15.65" x14ac:dyDescent="0.3">
      <c r="A873" s="81"/>
      <c r="B873" s="82"/>
      <c r="C873" s="79"/>
      <c r="D873" s="79"/>
      <c r="E873" s="79"/>
      <c r="F873" s="79"/>
      <c r="G873" s="79"/>
      <c r="H873" s="79"/>
      <c r="I873" s="79"/>
      <c r="J873" s="74"/>
      <c r="K873" s="80"/>
      <c r="L873" s="64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spans="1:27" ht="15.65" x14ac:dyDescent="0.3">
      <c r="A874" s="81"/>
      <c r="B874" s="82"/>
      <c r="C874" s="79"/>
      <c r="D874" s="79"/>
      <c r="E874" s="79"/>
      <c r="F874" s="79"/>
      <c r="G874" s="79"/>
      <c r="H874" s="79"/>
      <c r="I874" s="79"/>
      <c r="J874" s="74"/>
      <c r="K874" s="80"/>
      <c r="L874" s="64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spans="1:27" ht="15.65" x14ac:dyDescent="0.3">
      <c r="A875" s="81"/>
      <c r="B875" s="82"/>
      <c r="C875" s="79"/>
      <c r="D875" s="79"/>
      <c r="E875" s="79"/>
      <c r="F875" s="79"/>
      <c r="G875" s="79"/>
      <c r="H875" s="79"/>
      <c r="I875" s="79"/>
      <c r="J875" s="74"/>
      <c r="K875" s="80"/>
      <c r="L875" s="64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spans="1:27" ht="15.65" x14ac:dyDescent="0.3">
      <c r="A876" s="81"/>
      <c r="B876" s="82"/>
      <c r="C876" s="79"/>
      <c r="D876" s="79"/>
      <c r="E876" s="79"/>
      <c r="F876" s="79"/>
      <c r="G876" s="79"/>
      <c r="H876" s="79"/>
      <c r="I876" s="79"/>
      <c r="J876" s="74"/>
      <c r="K876" s="80"/>
      <c r="L876" s="64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spans="1:27" ht="15.65" x14ac:dyDescent="0.3">
      <c r="A877" s="81"/>
      <c r="B877" s="82"/>
      <c r="C877" s="79"/>
      <c r="D877" s="79"/>
      <c r="E877" s="79"/>
      <c r="F877" s="79"/>
      <c r="G877" s="79"/>
      <c r="H877" s="79"/>
      <c r="I877" s="79"/>
      <c r="J877" s="74"/>
      <c r="K877" s="80"/>
      <c r="L877" s="64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spans="1:27" ht="15.65" x14ac:dyDescent="0.3">
      <c r="A878" s="81"/>
      <c r="B878" s="82"/>
      <c r="C878" s="79"/>
      <c r="D878" s="79"/>
      <c r="E878" s="79"/>
      <c r="F878" s="79"/>
      <c r="G878" s="79"/>
      <c r="H878" s="79"/>
      <c r="I878" s="79"/>
      <c r="J878" s="74"/>
      <c r="K878" s="80"/>
      <c r="L878" s="64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spans="1:27" ht="15.65" x14ac:dyDescent="0.3">
      <c r="A879" s="81"/>
      <c r="B879" s="82"/>
      <c r="C879" s="79"/>
      <c r="D879" s="79"/>
      <c r="E879" s="79"/>
      <c r="F879" s="79"/>
      <c r="G879" s="79"/>
      <c r="H879" s="79"/>
      <c r="I879" s="79"/>
      <c r="J879" s="74"/>
      <c r="K879" s="80"/>
      <c r="L879" s="64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spans="1:27" ht="15.65" x14ac:dyDescent="0.3">
      <c r="A880" s="81"/>
      <c r="B880" s="82"/>
      <c r="C880" s="79"/>
      <c r="D880" s="79"/>
      <c r="E880" s="79"/>
      <c r="F880" s="79"/>
      <c r="G880" s="79"/>
      <c r="H880" s="79"/>
      <c r="I880" s="79"/>
      <c r="J880" s="74"/>
      <c r="K880" s="80"/>
      <c r="L880" s="64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spans="1:27" ht="15.65" x14ac:dyDescent="0.3">
      <c r="A881" s="81"/>
      <c r="B881" s="82"/>
      <c r="C881" s="79"/>
      <c r="D881" s="79"/>
      <c r="E881" s="79"/>
      <c r="F881" s="79"/>
      <c r="G881" s="79"/>
      <c r="H881" s="79"/>
      <c r="I881" s="79"/>
      <c r="J881" s="74"/>
      <c r="K881" s="80"/>
      <c r="L881" s="64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spans="1:27" ht="15.65" x14ac:dyDescent="0.3">
      <c r="A882" s="81"/>
      <c r="B882" s="82"/>
      <c r="C882" s="79"/>
      <c r="D882" s="79"/>
      <c r="E882" s="79"/>
      <c r="F882" s="79"/>
      <c r="G882" s="79"/>
      <c r="H882" s="79"/>
      <c r="I882" s="79"/>
      <c r="J882" s="74"/>
      <c r="K882" s="80"/>
      <c r="L882" s="64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spans="1:27" ht="15.65" x14ac:dyDescent="0.3">
      <c r="A883" s="81"/>
      <c r="B883" s="82"/>
      <c r="C883" s="79"/>
      <c r="D883" s="79"/>
      <c r="E883" s="79"/>
      <c r="F883" s="79"/>
      <c r="G883" s="79"/>
      <c r="H883" s="79"/>
      <c r="I883" s="79"/>
      <c r="J883" s="74"/>
      <c r="K883" s="80"/>
      <c r="L883" s="64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spans="1:27" ht="15.65" x14ac:dyDescent="0.3">
      <c r="A884" s="81"/>
      <c r="B884" s="82"/>
      <c r="C884" s="79"/>
      <c r="D884" s="79"/>
      <c r="E884" s="79"/>
      <c r="F884" s="79"/>
      <c r="G884" s="79"/>
      <c r="H884" s="79"/>
      <c r="I884" s="79"/>
      <c r="J884" s="74"/>
      <c r="K884" s="80"/>
      <c r="L884" s="64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spans="1:27" ht="15.65" x14ac:dyDescent="0.3">
      <c r="A885" s="81"/>
      <c r="B885" s="82"/>
      <c r="C885" s="79"/>
      <c r="D885" s="79"/>
      <c r="E885" s="79"/>
      <c r="F885" s="79"/>
      <c r="G885" s="79"/>
      <c r="H885" s="79"/>
      <c r="I885" s="79"/>
      <c r="J885" s="74"/>
      <c r="K885" s="80"/>
      <c r="L885" s="64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spans="1:27" ht="15.65" x14ac:dyDescent="0.3">
      <c r="A886" s="81"/>
      <c r="B886" s="82"/>
      <c r="C886" s="79"/>
      <c r="D886" s="79"/>
      <c r="E886" s="79"/>
      <c r="F886" s="79"/>
      <c r="G886" s="79"/>
      <c r="H886" s="79"/>
      <c r="I886" s="79"/>
      <c r="J886" s="74"/>
      <c r="K886" s="80"/>
      <c r="L886" s="64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spans="1:27" ht="15.65" x14ac:dyDescent="0.3">
      <c r="A887" s="81"/>
      <c r="B887" s="82"/>
      <c r="C887" s="79"/>
      <c r="D887" s="79"/>
      <c r="E887" s="79"/>
      <c r="F887" s="79"/>
      <c r="G887" s="79"/>
      <c r="H887" s="79"/>
      <c r="I887" s="79"/>
      <c r="J887" s="74"/>
      <c r="K887" s="80"/>
      <c r="L887" s="64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spans="1:27" ht="15.65" x14ac:dyDescent="0.3">
      <c r="A888" s="81"/>
      <c r="B888" s="82"/>
      <c r="C888" s="79"/>
      <c r="D888" s="79"/>
      <c r="E888" s="79"/>
      <c r="F888" s="79"/>
      <c r="G888" s="79"/>
      <c r="H888" s="79"/>
      <c r="I888" s="79"/>
      <c r="J888" s="74"/>
      <c r="K888" s="80"/>
      <c r="L888" s="64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spans="1:27" ht="15.65" x14ac:dyDescent="0.3">
      <c r="A889" s="81"/>
      <c r="B889" s="82"/>
      <c r="C889" s="79"/>
      <c r="D889" s="79"/>
      <c r="E889" s="79"/>
      <c r="F889" s="79"/>
      <c r="G889" s="79"/>
      <c r="H889" s="79"/>
      <c r="I889" s="79"/>
      <c r="J889" s="74"/>
      <c r="K889" s="80"/>
      <c r="L889" s="64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spans="1:27" ht="15.65" x14ac:dyDescent="0.3">
      <c r="A890" s="81"/>
      <c r="B890" s="82"/>
      <c r="C890" s="79"/>
      <c r="D890" s="79"/>
      <c r="E890" s="79"/>
      <c r="F890" s="79"/>
      <c r="G890" s="79"/>
      <c r="H890" s="79"/>
      <c r="I890" s="79"/>
      <c r="J890" s="74"/>
      <c r="K890" s="80"/>
      <c r="L890" s="64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spans="1:27" ht="15.65" x14ac:dyDescent="0.3">
      <c r="A891" s="81"/>
      <c r="B891" s="82"/>
      <c r="C891" s="79"/>
      <c r="D891" s="79"/>
      <c r="E891" s="79"/>
      <c r="F891" s="79"/>
      <c r="G891" s="79"/>
      <c r="H891" s="79"/>
      <c r="I891" s="79"/>
      <c r="J891" s="74"/>
      <c r="K891" s="80"/>
      <c r="L891" s="64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spans="1:27" ht="15.65" x14ac:dyDescent="0.3">
      <c r="A892" s="81"/>
      <c r="B892" s="82"/>
      <c r="C892" s="79"/>
      <c r="D892" s="79"/>
      <c r="E892" s="79"/>
      <c r="F892" s="79"/>
      <c r="G892" s="79"/>
      <c r="H892" s="79"/>
      <c r="I892" s="79"/>
      <c r="J892" s="74"/>
      <c r="K892" s="80"/>
      <c r="L892" s="64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spans="1:27" ht="15.65" x14ac:dyDescent="0.3">
      <c r="A893" s="81"/>
      <c r="B893" s="82"/>
      <c r="C893" s="79"/>
      <c r="D893" s="79"/>
      <c r="E893" s="79"/>
      <c r="F893" s="79"/>
      <c r="G893" s="79"/>
      <c r="H893" s="79"/>
      <c r="I893" s="79"/>
      <c r="J893" s="74"/>
      <c r="K893" s="80"/>
      <c r="L893" s="64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spans="1:27" ht="15.65" x14ac:dyDescent="0.3">
      <c r="A894" s="81"/>
      <c r="B894" s="82"/>
      <c r="C894" s="79"/>
      <c r="D894" s="79"/>
      <c r="E894" s="79"/>
      <c r="F894" s="79"/>
      <c r="G894" s="79"/>
      <c r="H894" s="79"/>
      <c r="I894" s="79"/>
      <c r="J894" s="74"/>
      <c r="K894" s="80"/>
      <c r="L894" s="64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spans="1:27" ht="15.65" x14ac:dyDescent="0.3">
      <c r="A895" s="81"/>
      <c r="B895" s="82"/>
      <c r="C895" s="79"/>
      <c r="D895" s="79"/>
      <c r="E895" s="79"/>
      <c r="F895" s="79"/>
      <c r="G895" s="79"/>
      <c r="H895" s="79"/>
      <c r="I895" s="79"/>
      <c r="J895" s="74"/>
      <c r="K895" s="80"/>
      <c r="L895" s="64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spans="1:27" ht="15.65" x14ac:dyDescent="0.3">
      <c r="A896" s="81"/>
      <c r="B896" s="82"/>
      <c r="C896" s="79"/>
      <c r="D896" s="79"/>
      <c r="E896" s="79"/>
      <c r="F896" s="79"/>
      <c r="G896" s="79"/>
      <c r="H896" s="79"/>
      <c r="I896" s="79"/>
      <c r="J896" s="74"/>
      <c r="K896" s="80"/>
      <c r="L896" s="64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spans="1:27" ht="15.65" x14ac:dyDescent="0.3">
      <c r="A897" s="81"/>
      <c r="B897" s="82"/>
      <c r="C897" s="79"/>
      <c r="D897" s="79"/>
      <c r="E897" s="79"/>
      <c r="F897" s="79"/>
      <c r="G897" s="79"/>
      <c r="H897" s="79"/>
      <c r="I897" s="79"/>
      <c r="J897" s="74"/>
      <c r="K897" s="80"/>
      <c r="L897" s="64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spans="1:27" ht="15.65" x14ac:dyDescent="0.3">
      <c r="A898" s="81"/>
      <c r="B898" s="82"/>
      <c r="C898" s="79"/>
      <c r="D898" s="79"/>
      <c r="E898" s="79"/>
      <c r="F898" s="79"/>
      <c r="G898" s="79"/>
      <c r="H898" s="79"/>
      <c r="I898" s="79"/>
      <c r="J898" s="74"/>
      <c r="K898" s="80"/>
      <c r="L898" s="64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spans="1:27" ht="15.65" x14ac:dyDescent="0.3">
      <c r="A899" s="81"/>
      <c r="B899" s="82"/>
      <c r="C899" s="79"/>
      <c r="D899" s="79"/>
      <c r="E899" s="79"/>
      <c r="F899" s="79"/>
      <c r="G899" s="79"/>
      <c r="H899" s="79"/>
      <c r="I899" s="79"/>
      <c r="J899" s="74"/>
      <c r="K899" s="80"/>
      <c r="L899" s="64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spans="1:27" ht="15.65" x14ac:dyDescent="0.3">
      <c r="A900" s="81"/>
      <c r="B900" s="82"/>
      <c r="C900" s="79"/>
      <c r="D900" s="79"/>
      <c r="E900" s="79"/>
      <c r="F900" s="79"/>
      <c r="G900" s="79"/>
      <c r="H900" s="79"/>
      <c r="I900" s="79"/>
      <c r="J900" s="74"/>
      <c r="K900" s="80"/>
      <c r="L900" s="64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spans="1:27" ht="15.65" x14ac:dyDescent="0.3">
      <c r="A901" s="81"/>
      <c r="B901" s="82"/>
      <c r="C901" s="79"/>
      <c r="D901" s="79"/>
      <c r="E901" s="79"/>
      <c r="F901" s="79"/>
      <c r="G901" s="79"/>
      <c r="H901" s="79"/>
      <c r="I901" s="79"/>
      <c r="J901" s="74"/>
      <c r="K901" s="80"/>
      <c r="L901" s="64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spans="1:27" ht="15.65" x14ac:dyDescent="0.3">
      <c r="A902" s="81"/>
      <c r="B902" s="82"/>
      <c r="C902" s="79"/>
      <c r="D902" s="79"/>
      <c r="E902" s="79"/>
      <c r="F902" s="79"/>
      <c r="G902" s="79"/>
      <c r="H902" s="79"/>
      <c r="I902" s="79"/>
      <c r="J902" s="74"/>
      <c r="K902" s="80"/>
      <c r="L902" s="64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spans="1:27" ht="15.65" x14ac:dyDescent="0.3">
      <c r="A903" s="81"/>
      <c r="B903" s="82"/>
      <c r="C903" s="79"/>
      <c r="D903" s="79"/>
      <c r="E903" s="79"/>
      <c r="F903" s="79"/>
      <c r="G903" s="79"/>
      <c r="H903" s="79"/>
      <c r="I903" s="79"/>
      <c r="J903" s="74"/>
      <c r="K903" s="80"/>
      <c r="L903" s="64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spans="1:27" ht="15.65" x14ac:dyDescent="0.3">
      <c r="A904" s="81"/>
      <c r="B904" s="82"/>
      <c r="C904" s="79"/>
      <c r="D904" s="79"/>
      <c r="E904" s="79"/>
      <c r="F904" s="79"/>
      <c r="G904" s="79"/>
      <c r="H904" s="79"/>
      <c r="I904" s="79"/>
      <c r="J904" s="74"/>
      <c r="K904" s="80"/>
      <c r="L904" s="64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spans="1:27" ht="15.65" x14ac:dyDescent="0.3">
      <c r="A905" s="81"/>
      <c r="B905" s="82"/>
      <c r="C905" s="79"/>
      <c r="D905" s="79"/>
      <c r="E905" s="79"/>
      <c r="F905" s="79"/>
      <c r="G905" s="79"/>
      <c r="H905" s="79"/>
      <c r="I905" s="79"/>
      <c r="J905" s="74"/>
      <c r="K905" s="80"/>
      <c r="L905" s="64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spans="1:27" ht="15.65" x14ac:dyDescent="0.3">
      <c r="A906" s="81"/>
      <c r="B906" s="82"/>
      <c r="C906" s="79"/>
      <c r="D906" s="79"/>
      <c r="E906" s="79"/>
      <c r="F906" s="79"/>
      <c r="G906" s="79"/>
      <c r="H906" s="79"/>
      <c r="I906" s="79"/>
      <c r="J906" s="74"/>
      <c r="K906" s="80"/>
      <c r="L906" s="64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spans="1:27" ht="15.65" x14ac:dyDescent="0.3">
      <c r="A907" s="81"/>
      <c r="B907" s="82"/>
      <c r="C907" s="79"/>
      <c r="D907" s="79"/>
      <c r="E907" s="79"/>
      <c r="F907" s="79"/>
      <c r="G907" s="79"/>
      <c r="H907" s="79"/>
      <c r="I907" s="79"/>
      <c r="J907" s="74"/>
      <c r="K907" s="80"/>
      <c r="L907" s="64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spans="1:27" ht="15.65" x14ac:dyDescent="0.3">
      <c r="A908" s="81"/>
      <c r="B908" s="82"/>
      <c r="C908" s="79"/>
      <c r="D908" s="79"/>
      <c r="E908" s="79"/>
      <c r="F908" s="79"/>
      <c r="G908" s="79"/>
      <c r="H908" s="79"/>
      <c r="I908" s="79"/>
      <c r="J908" s="74"/>
      <c r="K908" s="80"/>
      <c r="L908" s="64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spans="1:27" ht="15.65" x14ac:dyDescent="0.3">
      <c r="A909" s="81"/>
      <c r="B909" s="82"/>
      <c r="C909" s="79"/>
      <c r="D909" s="79"/>
      <c r="E909" s="79"/>
      <c r="F909" s="79"/>
      <c r="G909" s="79"/>
      <c r="H909" s="79"/>
      <c r="I909" s="79"/>
      <c r="J909" s="74"/>
      <c r="K909" s="80"/>
      <c r="L909" s="64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spans="1:27" ht="15.65" x14ac:dyDescent="0.3">
      <c r="A910" s="81"/>
      <c r="B910" s="82"/>
      <c r="C910" s="79"/>
      <c r="D910" s="79"/>
      <c r="E910" s="79"/>
      <c r="F910" s="79"/>
      <c r="G910" s="79"/>
      <c r="H910" s="79"/>
      <c r="I910" s="79"/>
      <c r="J910" s="74"/>
      <c r="K910" s="80"/>
      <c r="L910" s="64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spans="1:27" ht="15.65" x14ac:dyDescent="0.3">
      <c r="A911" s="81"/>
      <c r="B911" s="82"/>
      <c r="C911" s="79"/>
      <c r="D911" s="79"/>
      <c r="E911" s="79"/>
      <c r="F911" s="79"/>
      <c r="G911" s="79"/>
      <c r="H911" s="79"/>
      <c r="I911" s="79"/>
      <c r="J911" s="74"/>
      <c r="K911" s="80"/>
      <c r="L911" s="64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spans="1:27" ht="15.65" x14ac:dyDescent="0.3">
      <c r="A912" s="81"/>
      <c r="B912" s="82"/>
      <c r="C912" s="79"/>
      <c r="D912" s="79"/>
      <c r="E912" s="79"/>
      <c r="F912" s="79"/>
      <c r="G912" s="79"/>
      <c r="H912" s="79"/>
      <c r="I912" s="79"/>
      <c r="J912" s="74"/>
      <c r="K912" s="80"/>
      <c r="L912" s="64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spans="1:27" ht="15.65" x14ac:dyDescent="0.3">
      <c r="A913" s="81"/>
      <c r="B913" s="82"/>
      <c r="C913" s="79"/>
      <c r="D913" s="79"/>
      <c r="E913" s="79"/>
      <c r="F913" s="79"/>
      <c r="G913" s="79"/>
      <c r="H913" s="79"/>
      <c r="I913" s="79"/>
      <c r="J913" s="74"/>
      <c r="K913" s="80"/>
      <c r="L913" s="64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spans="1:27" ht="15.65" x14ac:dyDescent="0.3">
      <c r="A914" s="81"/>
      <c r="B914" s="82"/>
      <c r="C914" s="79"/>
      <c r="D914" s="79"/>
      <c r="E914" s="79"/>
      <c r="F914" s="79"/>
      <c r="G914" s="79"/>
      <c r="H914" s="79"/>
      <c r="I914" s="79"/>
      <c r="J914" s="74"/>
      <c r="K914" s="80"/>
      <c r="L914" s="64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spans="1:27" ht="15.65" x14ac:dyDescent="0.3">
      <c r="A915" s="81"/>
      <c r="B915" s="82"/>
      <c r="C915" s="79"/>
      <c r="D915" s="79"/>
      <c r="E915" s="79"/>
      <c r="F915" s="79"/>
      <c r="G915" s="79"/>
      <c r="H915" s="79"/>
      <c r="I915" s="79"/>
      <c r="J915" s="74"/>
      <c r="K915" s="80"/>
      <c r="L915" s="64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spans="1:27" ht="15.65" x14ac:dyDescent="0.3">
      <c r="A916" s="81"/>
      <c r="B916" s="82"/>
      <c r="C916" s="79"/>
      <c r="D916" s="79"/>
      <c r="E916" s="79"/>
      <c r="F916" s="79"/>
      <c r="G916" s="79"/>
      <c r="H916" s="79"/>
      <c r="I916" s="79"/>
      <c r="J916" s="74"/>
      <c r="K916" s="80"/>
      <c r="L916" s="64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spans="1:27" ht="15.65" x14ac:dyDescent="0.3">
      <c r="A917" s="81"/>
      <c r="B917" s="82"/>
      <c r="C917" s="79"/>
      <c r="D917" s="79"/>
      <c r="E917" s="79"/>
      <c r="F917" s="79"/>
      <c r="G917" s="79"/>
      <c r="H917" s="79"/>
      <c r="I917" s="79"/>
      <c r="J917" s="74"/>
      <c r="K917" s="80"/>
      <c r="L917" s="64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spans="1:27" ht="15.65" x14ac:dyDescent="0.3">
      <c r="A918" s="81"/>
      <c r="B918" s="82"/>
      <c r="C918" s="79"/>
      <c r="D918" s="79"/>
      <c r="E918" s="79"/>
      <c r="F918" s="79"/>
      <c r="G918" s="79"/>
      <c r="H918" s="79"/>
      <c r="I918" s="79"/>
      <c r="J918" s="74"/>
      <c r="K918" s="80"/>
      <c r="L918" s="64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spans="1:27" ht="15.65" x14ac:dyDescent="0.3">
      <c r="A919" s="81"/>
      <c r="B919" s="82"/>
      <c r="C919" s="79"/>
      <c r="D919" s="79"/>
      <c r="E919" s="79"/>
      <c r="F919" s="79"/>
      <c r="G919" s="79"/>
      <c r="H919" s="79"/>
      <c r="I919" s="79"/>
      <c r="J919" s="74"/>
      <c r="K919" s="80"/>
      <c r="L919" s="64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spans="1:27" ht="15.65" x14ac:dyDescent="0.3">
      <c r="A920" s="81"/>
      <c r="B920" s="82"/>
      <c r="C920" s="79"/>
      <c r="D920" s="79"/>
      <c r="E920" s="79"/>
      <c r="F920" s="79"/>
      <c r="G920" s="79"/>
      <c r="H920" s="79"/>
      <c r="I920" s="79"/>
      <c r="J920" s="74"/>
      <c r="K920" s="80"/>
      <c r="L920" s="64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spans="1:27" ht="15.65" x14ac:dyDescent="0.3">
      <c r="A921" s="81"/>
      <c r="B921" s="82"/>
      <c r="C921" s="79"/>
      <c r="D921" s="79"/>
      <c r="E921" s="79"/>
      <c r="F921" s="79"/>
      <c r="G921" s="79"/>
      <c r="H921" s="79"/>
      <c r="I921" s="79"/>
      <c r="J921" s="74"/>
      <c r="K921" s="80"/>
      <c r="L921" s="64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spans="1:27" ht="15.65" x14ac:dyDescent="0.3">
      <c r="A922" s="81"/>
      <c r="B922" s="82"/>
      <c r="C922" s="79"/>
      <c r="D922" s="79"/>
      <c r="E922" s="79"/>
      <c r="F922" s="79"/>
      <c r="G922" s="79"/>
      <c r="H922" s="79"/>
      <c r="I922" s="79"/>
      <c r="J922" s="74"/>
      <c r="K922" s="80"/>
      <c r="L922" s="64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spans="1:27" ht="15.65" x14ac:dyDescent="0.3">
      <c r="A923" s="81"/>
      <c r="B923" s="82"/>
      <c r="C923" s="79"/>
      <c r="D923" s="79"/>
      <c r="E923" s="79"/>
      <c r="F923" s="79"/>
      <c r="G923" s="79"/>
      <c r="H923" s="79"/>
      <c r="I923" s="79"/>
      <c r="J923" s="74"/>
      <c r="K923" s="80"/>
      <c r="L923" s="64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spans="1:27" ht="15.65" x14ac:dyDescent="0.3">
      <c r="A924" s="81"/>
      <c r="B924" s="82"/>
      <c r="C924" s="79"/>
      <c r="D924" s="79"/>
      <c r="E924" s="79"/>
      <c r="F924" s="79"/>
      <c r="G924" s="79"/>
      <c r="H924" s="79"/>
      <c r="I924" s="79"/>
      <c r="J924" s="74"/>
      <c r="K924" s="80"/>
      <c r="L924" s="64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spans="1:27" ht="15.65" x14ac:dyDescent="0.3">
      <c r="A925" s="81"/>
      <c r="B925" s="82"/>
      <c r="C925" s="79"/>
      <c r="D925" s="79"/>
      <c r="E925" s="79"/>
      <c r="F925" s="79"/>
      <c r="G925" s="79"/>
      <c r="H925" s="79"/>
      <c r="I925" s="79"/>
      <c r="J925" s="74"/>
      <c r="K925" s="80"/>
      <c r="L925" s="64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spans="1:27" ht="15.65" x14ac:dyDescent="0.3">
      <c r="A926" s="81"/>
      <c r="B926" s="82"/>
      <c r="C926" s="79"/>
      <c r="D926" s="79"/>
      <c r="E926" s="79"/>
      <c r="F926" s="79"/>
      <c r="G926" s="79"/>
      <c r="H926" s="79"/>
      <c r="I926" s="79"/>
      <c r="J926" s="74"/>
      <c r="K926" s="80"/>
      <c r="L926" s="64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spans="1:27" ht="15.65" x14ac:dyDescent="0.3">
      <c r="A927" s="81"/>
      <c r="B927" s="82"/>
      <c r="C927" s="79"/>
      <c r="D927" s="79"/>
      <c r="E927" s="79"/>
      <c r="F927" s="79"/>
      <c r="G927" s="79"/>
      <c r="H927" s="79"/>
      <c r="I927" s="79"/>
      <c r="J927" s="74"/>
      <c r="K927" s="80"/>
      <c r="L927" s="64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spans="1:27" ht="15.65" x14ac:dyDescent="0.3">
      <c r="A928" s="81"/>
      <c r="B928" s="82"/>
      <c r="C928" s="79"/>
      <c r="D928" s="79"/>
      <c r="E928" s="79"/>
      <c r="F928" s="79"/>
      <c r="G928" s="79"/>
      <c r="H928" s="79"/>
      <c r="I928" s="79"/>
      <c r="J928" s="74"/>
      <c r="K928" s="80"/>
      <c r="L928" s="64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spans="1:27" ht="15.65" x14ac:dyDescent="0.3">
      <c r="A929" s="81"/>
      <c r="B929" s="82"/>
      <c r="C929" s="79"/>
      <c r="D929" s="79"/>
      <c r="E929" s="79"/>
      <c r="F929" s="79"/>
      <c r="G929" s="79"/>
      <c r="H929" s="79"/>
      <c r="I929" s="79"/>
      <c r="J929" s="74"/>
      <c r="K929" s="80"/>
      <c r="L929" s="64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spans="1:27" ht="15.65" x14ac:dyDescent="0.3">
      <c r="A930" s="81"/>
      <c r="B930" s="82"/>
      <c r="C930" s="79"/>
      <c r="D930" s="79"/>
      <c r="E930" s="79"/>
      <c r="F930" s="79"/>
      <c r="G930" s="79"/>
      <c r="H930" s="79"/>
      <c r="I930" s="79"/>
      <c r="J930" s="74"/>
      <c r="K930" s="80"/>
      <c r="L930" s="64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spans="1:27" ht="15.65" x14ac:dyDescent="0.3">
      <c r="A931" s="81"/>
      <c r="B931" s="82"/>
      <c r="C931" s="79"/>
      <c r="D931" s="79"/>
      <c r="E931" s="79"/>
      <c r="F931" s="79"/>
      <c r="G931" s="79"/>
      <c r="H931" s="79"/>
      <c r="I931" s="79"/>
      <c r="J931" s="74"/>
      <c r="K931" s="80"/>
      <c r="L931" s="64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spans="1:27" ht="15.65" x14ac:dyDescent="0.3">
      <c r="A932" s="81"/>
      <c r="B932" s="82"/>
      <c r="C932" s="79"/>
      <c r="D932" s="79"/>
      <c r="E932" s="79"/>
      <c r="F932" s="79"/>
      <c r="G932" s="79"/>
      <c r="H932" s="79"/>
      <c r="I932" s="79"/>
      <c r="J932" s="74"/>
      <c r="K932" s="80"/>
      <c r="L932" s="64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spans="1:27" ht="15.65" x14ac:dyDescent="0.3">
      <c r="A933" s="81"/>
      <c r="B933" s="82"/>
      <c r="C933" s="79"/>
      <c r="D933" s="79"/>
      <c r="E933" s="79"/>
      <c r="F933" s="79"/>
      <c r="G933" s="79"/>
      <c r="H933" s="79"/>
      <c r="I933" s="79"/>
      <c r="J933" s="74"/>
      <c r="K933" s="80"/>
      <c r="L933" s="64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spans="1:27" ht="15.65" x14ac:dyDescent="0.3">
      <c r="A934" s="81"/>
      <c r="B934" s="82"/>
      <c r="C934" s="79"/>
      <c r="D934" s="79"/>
      <c r="E934" s="79"/>
      <c r="F934" s="79"/>
      <c r="G934" s="79"/>
      <c r="H934" s="79"/>
      <c r="I934" s="79"/>
      <c r="J934" s="74"/>
      <c r="K934" s="80"/>
      <c r="L934" s="64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spans="1:27" ht="15.65" x14ac:dyDescent="0.3">
      <c r="A935" s="81"/>
      <c r="B935" s="82"/>
      <c r="C935" s="79"/>
      <c r="D935" s="79"/>
      <c r="E935" s="79"/>
      <c r="F935" s="79"/>
      <c r="G935" s="79"/>
      <c r="H935" s="79"/>
      <c r="I935" s="79"/>
      <c r="J935" s="74"/>
      <c r="K935" s="80"/>
      <c r="L935" s="64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spans="1:27" ht="15.65" x14ac:dyDescent="0.3">
      <c r="A936" s="81"/>
      <c r="B936" s="82"/>
      <c r="C936" s="79"/>
      <c r="D936" s="79"/>
      <c r="E936" s="79"/>
      <c r="F936" s="79"/>
      <c r="G936" s="79"/>
      <c r="H936" s="79"/>
      <c r="I936" s="79"/>
      <c r="J936" s="74"/>
      <c r="K936" s="80"/>
      <c r="L936" s="64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spans="1:27" ht="15.65" x14ac:dyDescent="0.3">
      <c r="A937" s="81"/>
      <c r="B937" s="82"/>
      <c r="C937" s="79"/>
      <c r="D937" s="79"/>
      <c r="E937" s="79"/>
      <c r="F937" s="79"/>
      <c r="G937" s="79"/>
      <c r="H937" s="79"/>
      <c r="I937" s="79"/>
      <c r="J937" s="74"/>
      <c r="K937" s="80"/>
      <c r="L937" s="64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spans="1:27" ht="15.65" x14ac:dyDescent="0.3">
      <c r="A938" s="81"/>
      <c r="B938" s="82"/>
      <c r="C938" s="79"/>
      <c r="D938" s="79"/>
      <c r="E938" s="79"/>
      <c r="F938" s="79"/>
      <c r="G938" s="79"/>
      <c r="H938" s="79"/>
      <c r="I938" s="79"/>
      <c r="J938" s="74"/>
      <c r="K938" s="80"/>
      <c r="L938" s="64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spans="1:27" ht="15.65" x14ac:dyDescent="0.3">
      <c r="A939" s="81"/>
      <c r="B939" s="82"/>
      <c r="C939" s="79"/>
      <c r="D939" s="79"/>
      <c r="E939" s="79"/>
      <c r="F939" s="79"/>
      <c r="G939" s="79"/>
      <c r="H939" s="79"/>
      <c r="I939" s="79"/>
      <c r="J939" s="74"/>
      <c r="K939" s="80"/>
      <c r="L939" s="64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spans="1:27" ht="15.65" x14ac:dyDescent="0.3">
      <c r="A940" s="81"/>
      <c r="B940" s="82"/>
      <c r="C940" s="79"/>
      <c r="D940" s="79"/>
      <c r="E940" s="79"/>
      <c r="F940" s="79"/>
      <c r="G940" s="79"/>
      <c r="H940" s="79"/>
      <c r="I940" s="79"/>
      <c r="J940" s="74"/>
      <c r="K940" s="80"/>
      <c r="L940" s="64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spans="1:27" ht="15.65" x14ac:dyDescent="0.3">
      <c r="A941" s="81"/>
      <c r="B941" s="82"/>
      <c r="C941" s="79"/>
      <c r="D941" s="79"/>
      <c r="E941" s="79"/>
      <c r="F941" s="79"/>
      <c r="G941" s="79"/>
      <c r="H941" s="79"/>
      <c r="I941" s="79"/>
      <c r="J941" s="74"/>
      <c r="K941" s="80"/>
      <c r="L941" s="64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spans="1:27" ht="15.65" x14ac:dyDescent="0.3">
      <c r="A942" s="81"/>
      <c r="B942" s="82"/>
      <c r="C942" s="79"/>
      <c r="D942" s="79"/>
      <c r="E942" s="79"/>
      <c r="F942" s="79"/>
      <c r="G942" s="79"/>
      <c r="H942" s="79"/>
      <c r="I942" s="79"/>
      <c r="J942" s="74"/>
      <c r="K942" s="80"/>
      <c r="L942" s="64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spans="1:27" ht="15.65" x14ac:dyDescent="0.3">
      <c r="A943" s="81"/>
      <c r="B943" s="82"/>
      <c r="C943" s="79"/>
      <c r="D943" s="79"/>
      <c r="E943" s="79"/>
      <c r="F943" s="79"/>
      <c r="G943" s="79"/>
      <c r="H943" s="79"/>
      <c r="I943" s="79"/>
      <c r="J943" s="74"/>
      <c r="K943" s="80"/>
      <c r="L943" s="64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spans="1:27" ht="15.65" x14ac:dyDescent="0.3">
      <c r="A944" s="81"/>
      <c r="B944" s="82"/>
      <c r="C944" s="79"/>
      <c r="D944" s="79"/>
      <c r="E944" s="79"/>
      <c r="F944" s="79"/>
      <c r="G944" s="79"/>
      <c r="H944" s="79"/>
      <c r="I944" s="79"/>
      <c r="J944" s="74"/>
      <c r="K944" s="80"/>
      <c r="L944" s="64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spans="1:27" ht="15.65" x14ac:dyDescent="0.3">
      <c r="A945" s="81"/>
      <c r="B945" s="82"/>
      <c r="C945" s="79"/>
      <c r="D945" s="79"/>
      <c r="E945" s="79"/>
      <c r="F945" s="79"/>
      <c r="G945" s="79"/>
      <c r="H945" s="79"/>
      <c r="I945" s="79"/>
      <c r="J945" s="74"/>
      <c r="K945" s="80"/>
      <c r="L945" s="64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spans="1:27" ht="15.65" x14ac:dyDescent="0.3">
      <c r="A946" s="81"/>
      <c r="B946" s="82"/>
      <c r="C946" s="79"/>
      <c r="D946" s="79"/>
      <c r="E946" s="79"/>
      <c r="F946" s="79"/>
      <c r="G946" s="79"/>
      <c r="H946" s="79"/>
      <c r="I946" s="79"/>
      <c r="J946" s="74"/>
      <c r="K946" s="80"/>
      <c r="L946" s="64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spans="1:27" ht="15.65" x14ac:dyDescent="0.3">
      <c r="A947" s="81"/>
      <c r="B947" s="82"/>
      <c r="C947" s="79"/>
      <c r="D947" s="79"/>
      <c r="E947" s="79"/>
      <c r="F947" s="79"/>
      <c r="G947" s="79"/>
      <c r="H947" s="79"/>
      <c r="I947" s="79"/>
      <c r="J947" s="74"/>
      <c r="K947" s="80"/>
      <c r="L947" s="64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spans="1:27" ht="15.65" x14ac:dyDescent="0.3">
      <c r="A948" s="81"/>
      <c r="B948" s="82"/>
      <c r="C948" s="79"/>
      <c r="D948" s="79"/>
      <c r="E948" s="79"/>
      <c r="F948" s="79"/>
      <c r="G948" s="79"/>
      <c r="H948" s="79"/>
      <c r="I948" s="79"/>
      <c r="J948" s="74"/>
      <c r="K948" s="80"/>
      <c r="L948" s="64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spans="1:27" ht="15.65" x14ac:dyDescent="0.3">
      <c r="A949" s="81"/>
      <c r="B949" s="82"/>
      <c r="C949" s="79"/>
      <c r="D949" s="79"/>
      <c r="E949" s="79"/>
      <c r="F949" s="79"/>
      <c r="G949" s="79"/>
      <c r="H949" s="79"/>
      <c r="I949" s="79"/>
      <c r="J949" s="74"/>
      <c r="K949" s="80"/>
      <c r="L949" s="64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spans="1:27" ht="15.65" x14ac:dyDescent="0.3">
      <c r="A950" s="81"/>
      <c r="B950" s="82"/>
      <c r="C950" s="79"/>
      <c r="D950" s="79"/>
      <c r="E950" s="79"/>
      <c r="F950" s="79"/>
      <c r="G950" s="79"/>
      <c r="H950" s="79"/>
      <c r="I950" s="79"/>
      <c r="J950" s="74"/>
      <c r="K950" s="80"/>
      <c r="L950" s="64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spans="1:27" ht="15.65" x14ac:dyDescent="0.3">
      <c r="A951" s="81"/>
      <c r="B951" s="82"/>
      <c r="C951" s="79"/>
      <c r="D951" s="79"/>
      <c r="E951" s="79"/>
      <c r="F951" s="79"/>
      <c r="G951" s="79"/>
      <c r="H951" s="79"/>
      <c r="I951" s="79"/>
      <c r="J951" s="74"/>
      <c r="K951" s="80"/>
      <c r="L951" s="64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 spans="1:27" ht="15.65" x14ac:dyDescent="0.3">
      <c r="A952" s="81"/>
      <c r="B952" s="82"/>
      <c r="C952" s="79"/>
      <c r="D952" s="79"/>
      <c r="E952" s="79"/>
      <c r="F952" s="79"/>
      <c r="G952" s="79"/>
      <c r="H952" s="79"/>
      <c r="I952" s="79"/>
      <c r="J952" s="74"/>
      <c r="K952" s="80"/>
      <c r="L952" s="64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 spans="1:27" ht="15.65" x14ac:dyDescent="0.3">
      <c r="A953" s="81"/>
      <c r="B953" s="82"/>
      <c r="C953" s="79"/>
      <c r="D953" s="79"/>
      <c r="E953" s="79"/>
      <c r="F953" s="79"/>
      <c r="G953" s="79"/>
      <c r="H953" s="79"/>
      <c r="I953" s="79"/>
      <c r="J953" s="74"/>
      <c r="K953" s="80"/>
      <c r="L953" s="64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 spans="1:27" ht="15.65" x14ac:dyDescent="0.3">
      <c r="A954" s="81"/>
      <c r="B954" s="82"/>
      <c r="C954" s="79"/>
      <c r="D954" s="79"/>
      <c r="E954" s="79"/>
      <c r="F954" s="79"/>
      <c r="G954" s="79"/>
      <c r="H954" s="79"/>
      <c r="I954" s="79"/>
      <c r="J954" s="74"/>
      <c r="K954" s="80"/>
      <c r="L954" s="64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 spans="1:27" ht="15.65" x14ac:dyDescent="0.3">
      <c r="A955" s="81"/>
      <c r="B955" s="82"/>
      <c r="C955" s="79"/>
      <c r="D955" s="79"/>
      <c r="E955" s="79"/>
      <c r="F955" s="79"/>
      <c r="G955" s="79"/>
      <c r="H955" s="79"/>
      <c r="I955" s="79"/>
      <c r="J955" s="74"/>
      <c r="K955" s="80"/>
      <c r="L955" s="64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 spans="1:27" ht="15.65" x14ac:dyDescent="0.3">
      <c r="A956" s="81"/>
      <c r="B956" s="82"/>
      <c r="C956" s="79"/>
      <c r="D956" s="79"/>
      <c r="E956" s="79"/>
      <c r="F956" s="79"/>
      <c r="G956" s="79"/>
      <c r="H956" s="79"/>
      <c r="I956" s="79"/>
      <c r="J956" s="74"/>
      <c r="K956" s="80"/>
      <c r="L956" s="64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 spans="1:27" ht="15.65" x14ac:dyDescent="0.3">
      <c r="A957" s="81"/>
      <c r="B957" s="82"/>
      <c r="C957" s="79"/>
      <c r="D957" s="79"/>
      <c r="E957" s="79"/>
      <c r="F957" s="79"/>
      <c r="G957" s="79"/>
      <c r="H957" s="79"/>
      <c r="I957" s="79"/>
      <c r="J957" s="74"/>
      <c r="K957" s="80"/>
      <c r="L957" s="64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 spans="1:27" ht="15.65" x14ac:dyDescent="0.3">
      <c r="A958" s="81"/>
      <c r="B958" s="82"/>
      <c r="C958" s="79"/>
      <c r="D958" s="79"/>
      <c r="E958" s="79"/>
      <c r="F958" s="79"/>
      <c r="G958" s="79"/>
      <c r="H958" s="79"/>
      <c r="I958" s="79"/>
      <c r="J958" s="74"/>
      <c r="K958" s="80"/>
      <c r="L958" s="64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 spans="1:27" ht="15.65" x14ac:dyDescent="0.3">
      <c r="A959" s="81"/>
      <c r="B959" s="82"/>
      <c r="C959" s="79"/>
      <c r="D959" s="79"/>
      <c r="E959" s="79"/>
      <c r="F959" s="79"/>
      <c r="G959" s="79"/>
      <c r="H959" s="79"/>
      <c r="I959" s="79"/>
      <c r="J959" s="74"/>
      <c r="K959" s="80"/>
      <c r="L959" s="64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 spans="1:27" ht="15.65" x14ac:dyDescent="0.3">
      <c r="A960" s="81"/>
      <c r="B960" s="82"/>
      <c r="C960" s="79"/>
      <c r="D960" s="79"/>
      <c r="E960" s="79"/>
      <c r="F960" s="79"/>
      <c r="G960" s="79"/>
      <c r="H960" s="79"/>
      <c r="I960" s="79"/>
      <c r="J960" s="74"/>
      <c r="K960" s="80"/>
      <c r="L960" s="64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 spans="1:27" ht="15.65" x14ac:dyDescent="0.3">
      <c r="A961" s="81"/>
      <c r="B961" s="82"/>
      <c r="C961" s="79"/>
      <c r="D961" s="79"/>
      <c r="E961" s="79"/>
      <c r="F961" s="79"/>
      <c r="G961" s="79"/>
      <c r="H961" s="79"/>
      <c r="I961" s="79"/>
      <c r="J961" s="74"/>
      <c r="K961" s="80"/>
      <c r="L961" s="64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 spans="1:27" ht="15.65" x14ac:dyDescent="0.3">
      <c r="A962" s="81"/>
      <c r="B962" s="82"/>
      <c r="C962" s="79"/>
      <c r="D962" s="79"/>
      <c r="E962" s="79"/>
      <c r="F962" s="79"/>
      <c r="G962" s="79"/>
      <c r="H962" s="79"/>
      <c r="I962" s="79"/>
      <c r="J962" s="74"/>
      <c r="K962" s="80"/>
      <c r="L962" s="64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 spans="1:27" ht="15.65" x14ac:dyDescent="0.3">
      <c r="A963" s="81"/>
      <c r="B963" s="82"/>
      <c r="C963" s="79"/>
      <c r="D963" s="79"/>
      <c r="E963" s="79"/>
      <c r="F963" s="79"/>
      <c r="G963" s="79"/>
      <c r="H963" s="79"/>
      <c r="I963" s="79"/>
      <c r="J963" s="74"/>
      <c r="K963" s="80"/>
      <c r="L963" s="64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 spans="1:27" ht="15.65" x14ac:dyDescent="0.3">
      <c r="A964" s="81"/>
      <c r="B964" s="82"/>
      <c r="C964" s="79"/>
      <c r="D964" s="79"/>
      <c r="E964" s="79"/>
      <c r="F964" s="79"/>
      <c r="G964" s="79"/>
      <c r="H964" s="79"/>
      <c r="I964" s="79"/>
      <c r="J964" s="74"/>
      <c r="K964" s="80"/>
      <c r="L964" s="64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 spans="1:27" ht="15.65" x14ac:dyDescent="0.3">
      <c r="A965" s="81"/>
      <c r="B965" s="82"/>
      <c r="C965" s="79"/>
      <c r="D965" s="79"/>
      <c r="E965" s="79"/>
      <c r="F965" s="79"/>
      <c r="G965" s="79"/>
      <c r="H965" s="79"/>
      <c r="I965" s="79"/>
      <c r="J965" s="74"/>
      <c r="K965" s="80"/>
      <c r="L965" s="64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 spans="1:27" ht="15.65" x14ac:dyDescent="0.3">
      <c r="A966" s="81"/>
      <c r="B966" s="82"/>
      <c r="C966" s="79"/>
      <c r="D966" s="79"/>
      <c r="E966" s="79"/>
      <c r="F966" s="79"/>
      <c r="G966" s="79"/>
      <c r="H966" s="79"/>
      <c r="I966" s="79"/>
      <c r="J966" s="74"/>
      <c r="K966" s="80"/>
      <c r="L966" s="64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 spans="1:27" ht="15.65" x14ac:dyDescent="0.3">
      <c r="A967" s="81"/>
      <c r="B967" s="82"/>
      <c r="C967" s="79"/>
      <c r="D967" s="79"/>
      <c r="E967" s="79"/>
      <c r="F967" s="79"/>
      <c r="G967" s="79"/>
      <c r="H967" s="79"/>
      <c r="I967" s="79"/>
      <c r="J967" s="74"/>
      <c r="K967" s="80"/>
      <c r="L967" s="64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 spans="1:27" ht="15.65" x14ac:dyDescent="0.3">
      <c r="A968" s="81"/>
      <c r="B968" s="82"/>
      <c r="C968" s="79"/>
      <c r="D968" s="79"/>
      <c r="E968" s="79"/>
      <c r="F968" s="79"/>
      <c r="G968" s="79"/>
      <c r="H968" s="79"/>
      <c r="I968" s="79"/>
      <c r="J968" s="74"/>
      <c r="K968" s="80"/>
      <c r="L968" s="64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 spans="1:27" ht="15.65" x14ac:dyDescent="0.3">
      <c r="A969" s="81"/>
      <c r="B969" s="82"/>
      <c r="C969" s="79"/>
      <c r="D969" s="79"/>
      <c r="E969" s="79"/>
      <c r="F969" s="79"/>
      <c r="G969" s="79"/>
      <c r="H969" s="79"/>
      <c r="I969" s="79"/>
      <c r="J969" s="74"/>
      <c r="K969" s="80"/>
      <c r="L969" s="64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 spans="1:27" ht="15.65" x14ac:dyDescent="0.3">
      <c r="A970" s="81"/>
      <c r="B970" s="82"/>
      <c r="C970" s="79"/>
      <c r="D970" s="79"/>
      <c r="E970" s="79"/>
      <c r="F970" s="79"/>
      <c r="G970" s="79"/>
      <c r="H970" s="79"/>
      <c r="I970" s="79"/>
      <c r="J970" s="74"/>
      <c r="K970" s="80"/>
      <c r="L970" s="64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 spans="1:27" ht="15.65" x14ac:dyDescent="0.3">
      <c r="A971" s="81"/>
      <c r="B971" s="82"/>
      <c r="C971" s="79"/>
      <c r="D971" s="79"/>
      <c r="E971" s="79"/>
      <c r="F971" s="79"/>
      <c r="G971" s="79"/>
      <c r="H971" s="79"/>
      <c r="I971" s="79"/>
      <c r="J971" s="74"/>
      <c r="K971" s="80"/>
      <c r="L971" s="64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 spans="1:27" ht="15.65" x14ac:dyDescent="0.3">
      <c r="A972" s="81"/>
      <c r="B972" s="82"/>
      <c r="C972" s="79"/>
      <c r="D972" s="79"/>
      <c r="E972" s="79"/>
      <c r="F972" s="79"/>
      <c r="G972" s="79"/>
      <c r="H972" s="79"/>
      <c r="I972" s="79"/>
      <c r="J972" s="74"/>
      <c r="K972" s="80"/>
      <c r="L972" s="64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 spans="1:27" ht="15.65" x14ac:dyDescent="0.3">
      <c r="A973" s="81"/>
      <c r="B973" s="82"/>
      <c r="C973" s="79"/>
      <c r="D973" s="79"/>
      <c r="E973" s="79"/>
      <c r="F973" s="79"/>
      <c r="G973" s="79"/>
      <c r="H973" s="79"/>
      <c r="I973" s="79"/>
      <c r="J973" s="74"/>
      <c r="K973" s="80"/>
      <c r="L973" s="64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 spans="1:27" ht="15.65" x14ac:dyDescent="0.3">
      <c r="A974" s="81"/>
      <c r="B974" s="82"/>
      <c r="C974" s="79"/>
      <c r="D974" s="79"/>
      <c r="E974" s="79"/>
      <c r="F974" s="79"/>
      <c r="G974" s="79"/>
      <c r="H974" s="79"/>
      <c r="I974" s="79"/>
      <c r="J974" s="74"/>
      <c r="K974" s="80"/>
      <c r="L974" s="64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 spans="1:27" ht="15.65" x14ac:dyDescent="0.3">
      <c r="A975" s="81"/>
      <c r="B975" s="82"/>
      <c r="C975" s="79"/>
      <c r="D975" s="79"/>
      <c r="E975" s="79"/>
      <c r="F975" s="79"/>
      <c r="G975" s="79"/>
      <c r="H975" s="79"/>
      <c r="I975" s="79"/>
      <c r="J975" s="74"/>
      <c r="K975" s="80"/>
      <c r="L975" s="64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 spans="1:27" ht="15.65" x14ac:dyDescent="0.3">
      <c r="A976" s="81"/>
      <c r="B976" s="82"/>
      <c r="C976" s="79"/>
      <c r="D976" s="79"/>
      <c r="E976" s="79"/>
      <c r="F976" s="79"/>
      <c r="G976" s="79"/>
      <c r="H976" s="79"/>
      <c r="I976" s="79"/>
      <c r="J976" s="74"/>
      <c r="K976" s="80"/>
      <c r="L976" s="64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</sheetData>
  <autoFilter ref="A1:K85" xr:uid="{00000000-0009-0000-0000-000001000000}"/>
  <conditionalFormatting sqref="B2:B83">
    <cfRule type="expression" dxfId="6" priority="1">
      <formula>0</formula>
    </cfRule>
  </conditionalFormatting>
  <conditionalFormatting sqref="J1:J976">
    <cfRule type="cellIs" dxfId="5" priority="2" operator="greaterThan">
      <formula>"60%"</formula>
    </cfRule>
  </conditionalFormatting>
  <conditionalFormatting sqref="J1:J976">
    <cfRule type="cellIs" dxfId="4" priority="3" operator="between">
      <formula>"50%"</formula>
      <formula>"60%"</formula>
    </cfRule>
  </conditionalFormatting>
  <conditionalFormatting sqref="J1:J976">
    <cfRule type="cellIs" dxfId="3" priority="4" operator="lessThan">
      <formula>"50%"</formula>
    </cfRule>
  </conditionalFormatting>
  <conditionalFormatting sqref="L2:L84">
    <cfRule type="cellIs" dxfId="2" priority="5" operator="greaterThan">
      <formula>"60%"</formula>
    </cfRule>
  </conditionalFormatting>
  <conditionalFormatting sqref="L2:L84">
    <cfRule type="cellIs" dxfId="1" priority="6" operator="between">
      <formula>"50%"</formula>
      <formula>"60%"</formula>
    </cfRule>
  </conditionalFormatting>
  <conditionalFormatting sqref="L2:L84">
    <cfRule type="cellIs" dxfId="0" priority="7" operator="lessThan">
      <formula>"50%"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D102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6640625" defaultRowHeight="15.85" customHeight="1" x14ac:dyDescent="0.2"/>
  <cols>
    <col min="1" max="1" width="22.33203125" customWidth="1"/>
    <col min="6" max="36" width="8.88671875" customWidth="1"/>
  </cols>
  <sheetData>
    <row r="1" spans="1:56" ht="28.8" x14ac:dyDescent="0.25">
      <c r="A1" s="83"/>
      <c r="B1" s="84" t="s">
        <v>253</v>
      </c>
      <c r="C1" s="85" t="s">
        <v>254</v>
      </c>
      <c r="D1" s="86" t="s">
        <v>255</v>
      </c>
      <c r="E1" s="85" t="s">
        <v>256</v>
      </c>
      <c r="F1" s="87">
        <v>45901</v>
      </c>
      <c r="G1" s="87">
        <f t="shared" ref="G1:AJ1" si="0">F1+1</f>
        <v>45902</v>
      </c>
      <c r="H1" s="87">
        <f t="shared" si="0"/>
        <v>45903</v>
      </c>
      <c r="I1" s="87">
        <f t="shared" si="0"/>
        <v>45904</v>
      </c>
      <c r="J1" s="87">
        <f t="shared" si="0"/>
        <v>45905</v>
      </c>
      <c r="K1" s="87">
        <f t="shared" si="0"/>
        <v>45906</v>
      </c>
      <c r="L1" s="87">
        <f t="shared" si="0"/>
        <v>45907</v>
      </c>
      <c r="M1" s="87">
        <f t="shared" si="0"/>
        <v>45908</v>
      </c>
      <c r="N1" s="87">
        <f t="shared" si="0"/>
        <v>45909</v>
      </c>
      <c r="O1" s="87">
        <f t="shared" si="0"/>
        <v>45910</v>
      </c>
      <c r="P1" s="87">
        <f t="shared" si="0"/>
        <v>45911</v>
      </c>
      <c r="Q1" s="87">
        <f t="shared" si="0"/>
        <v>45912</v>
      </c>
      <c r="R1" s="87">
        <f t="shared" si="0"/>
        <v>45913</v>
      </c>
      <c r="S1" s="87">
        <f t="shared" si="0"/>
        <v>45914</v>
      </c>
      <c r="T1" s="87">
        <f t="shared" si="0"/>
        <v>45915</v>
      </c>
      <c r="U1" s="87">
        <f t="shared" si="0"/>
        <v>45916</v>
      </c>
      <c r="V1" s="87">
        <f t="shared" si="0"/>
        <v>45917</v>
      </c>
      <c r="W1" s="87">
        <f t="shared" si="0"/>
        <v>45918</v>
      </c>
      <c r="X1" s="87">
        <f t="shared" si="0"/>
        <v>45919</v>
      </c>
      <c r="Y1" s="87">
        <f t="shared" si="0"/>
        <v>45920</v>
      </c>
      <c r="Z1" s="87">
        <f t="shared" si="0"/>
        <v>45921</v>
      </c>
      <c r="AA1" s="87">
        <f t="shared" si="0"/>
        <v>45922</v>
      </c>
      <c r="AB1" s="87">
        <f t="shared" si="0"/>
        <v>45923</v>
      </c>
      <c r="AC1" s="87">
        <f t="shared" si="0"/>
        <v>45924</v>
      </c>
      <c r="AD1" s="87">
        <f t="shared" si="0"/>
        <v>45925</v>
      </c>
      <c r="AE1" s="87">
        <f t="shared" si="0"/>
        <v>45926</v>
      </c>
      <c r="AF1" s="87">
        <f t="shared" si="0"/>
        <v>45927</v>
      </c>
      <c r="AG1" s="87">
        <f t="shared" si="0"/>
        <v>45928</v>
      </c>
      <c r="AH1" s="87">
        <f t="shared" si="0"/>
        <v>45929</v>
      </c>
      <c r="AI1" s="87">
        <f t="shared" si="0"/>
        <v>45930</v>
      </c>
      <c r="AJ1" s="87">
        <f t="shared" si="0"/>
        <v>45931</v>
      </c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</row>
    <row r="2" spans="1:56" ht="14.4" hidden="1" x14ac:dyDescent="0.25">
      <c r="A2" s="187" t="s">
        <v>269</v>
      </c>
      <c r="B2" s="89"/>
      <c r="C2" s="89"/>
      <c r="D2" s="90"/>
      <c r="E2" s="89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</row>
    <row r="3" spans="1:56" ht="14.4" hidden="1" x14ac:dyDescent="0.25">
      <c r="A3" s="93" t="s">
        <v>257</v>
      </c>
      <c r="B3" s="94" t="s">
        <v>258</v>
      </c>
      <c r="C3" s="103"/>
      <c r="D3" s="95"/>
      <c r="E3" s="96">
        <f t="shared" ref="E3:E4" si="1">SUM(F3:AJ3)</f>
        <v>0</v>
      </c>
      <c r="F3" s="97"/>
      <c r="G3" s="97"/>
      <c r="H3" s="97"/>
      <c r="I3" s="97"/>
      <c r="J3" s="97"/>
      <c r="K3" s="97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</row>
    <row r="4" spans="1:56" ht="14.4" hidden="1" x14ac:dyDescent="0.25">
      <c r="A4" s="99" t="s">
        <v>259</v>
      </c>
      <c r="B4" s="94" t="s">
        <v>258</v>
      </c>
      <c r="C4" s="127">
        <f>+D4*30</f>
        <v>0</v>
      </c>
      <c r="D4" s="100">
        <f>D3/D5</f>
        <v>0</v>
      </c>
      <c r="E4" s="140">
        <f t="shared" si="1"/>
        <v>0</v>
      </c>
      <c r="F4" s="101"/>
      <c r="G4" s="101"/>
      <c r="H4" s="101"/>
      <c r="I4" s="101"/>
      <c r="J4" s="101"/>
      <c r="K4" s="101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2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</row>
    <row r="5" spans="1:56" ht="14.4" hidden="1" x14ac:dyDescent="0.25">
      <c r="A5" s="99" t="s">
        <v>260</v>
      </c>
      <c r="B5" s="94" t="s">
        <v>258</v>
      </c>
      <c r="C5" s="96" t="e">
        <f>+C3/C4</f>
        <v>#DIV/0!</v>
      </c>
      <c r="D5" s="96">
        <v>1</v>
      </c>
      <c r="E5" s="96" t="e">
        <f>+E3/E4</f>
        <v>#DIV/0!</v>
      </c>
      <c r="F5" s="104" t="e">
        <f t="shared" ref="F5:AJ5" si="2">F3/F4</f>
        <v>#DIV/0!</v>
      </c>
      <c r="G5" s="104" t="e">
        <f t="shared" si="2"/>
        <v>#DIV/0!</v>
      </c>
      <c r="H5" s="104" t="e">
        <f t="shared" si="2"/>
        <v>#DIV/0!</v>
      </c>
      <c r="I5" s="104" t="e">
        <f t="shared" si="2"/>
        <v>#DIV/0!</v>
      </c>
      <c r="J5" s="104" t="e">
        <f t="shared" si="2"/>
        <v>#DIV/0!</v>
      </c>
      <c r="K5" s="104" t="e">
        <f t="shared" si="2"/>
        <v>#DIV/0!</v>
      </c>
      <c r="L5" s="104" t="e">
        <f t="shared" si="2"/>
        <v>#DIV/0!</v>
      </c>
      <c r="M5" s="104" t="e">
        <f t="shared" si="2"/>
        <v>#DIV/0!</v>
      </c>
      <c r="N5" s="104" t="e">
        <f t="shared" si="2"/>
        <v>#DIV/0!</v>
      </c>
      <c r="O5" s="104" t="e">
        <f t="shared" si="2"/>
        <v>#DIV/0!</v>
      </c>
      <c r="P5" s="104" t="e">
        <f t="shared" si="2"/>
        <v>#DIV/0!</v>
      </c>
      <c r="Q5" s="104" t="e">
        <f t="shared" si="2"/>
        <v>#DIV/0!</v>
      </c>
      <c r="R5" s="104" t="e">
        <f t="shared" si="2"/>
        <v>#DIV/0!</v>
      </c>
      <c r="S5" s="104" t="e">
        <f t="shared" si="2"/>
        <v>#DIV/0!</v>
      </c>
      <c r="T5" s="104" t="e">
        <f t="shared" si="2"/>
        <v>#DIV/0!</v>
      </c>
      <c r="U5" s="104" t="e">
        <f t="shared" si="2"/>
        <v>#DIV/0!</v>
      </c>
      <c r="V5" s="104" t="e">
        <f t="shared" si="2"/>
        <v>#DIV/0!</v>
      </c>
      <c r="W5" s="104" t="e">
        <f t="shared" si="2"/>
        <v>#DIV/0!</v>
      </c>
      <c r="X5" s="104" t="e">
        <f t="shared" si="2"/>
        <v>#DIV/0!</v>
      </c>
      <c r="Y5" s="104" t="e">
        <f t="shared" si="2"/>
        <v>#DIV/0!</v>
      </c>
      <c r="Z5" s="104" t="e">
        <f t="shared" si="2"/>
        <v>#DIV/0!</v>
      </c>
      <c r="AA5" s="104" t="e">
        <f t="shared" si="2"/>
        <v>#DIV/0!</v>
      </c>
      <c r="AB5" s="104" t="e">
        <f t="shared" si="2"/>
        <v>#DIV/0!</v>
      </c>
      <c r="AC5" s="104" t="e">
        <f t="shared" si="2"/>
        <v>#DIV/0!</v>
      </c>
      <c r="AD5" s="104" t="e">
        <f t="shared" si="2"/>
        <v>#DIV/0!</v>
      </c>
      <c r="AE5" s="104" t="e">
        <f t="shared" si="2"/>
        <v>#DIV/0!</v>
      </c>
      <c r="AF5" s="104" t="e">
        <f t="shared" si="2"/>
        <v>#DIV/0!</v>
      </c>
      <c r="AG5" s="104" t="e">
        <f t="shared" si="2"/>
        <v>#DIV/0!</v>
      </c>
      <c r="AH5" s="104" t="e">
        <f t="shared" si="2"/>
        <v>#DIV/0!</v>
      </c>
      <c r="AI5" s="104" t="e">
        <f t="shared" si="2"/>
        <v>#DIV/0!</v>
      </c>
      <c r="AJ5" s="104" t="e">
        <f t="shared" si="2"/>
        <v>#DIV/0!</v>
      </c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</row>
    <row r="6" spans="1:56" ht="14.4" hidden="1" x14ac:dyDescent="0.25">
      <c r="A6" s="106" t="s">
        <v>261</v>
      </c>
      <c r="B6" s="107" t="s">
        <v>258</v>
      </c>
      <c r="C6" s="131">
        <f>D6*30</f>
        <v>0</v>
      </c>
      <c r="D6" s="132">
        <f>+D4*D7</f>
        <v>0</v>
      </c>
      <c r="E6" s="188">
        <f>SUM(F6:AJ6)</f>
        <v>0</v>
      </c>
      <c r="F6" s="109"/>
      <c r="G6" s="109"/>
      <c r="H6" s="109"/>
      <c r="I6" s="109"/>
      <c r="J6" s="109"/>
      <c r="K6" s="109"/>
      <c r="L6" s="109"/>
      <c r="M6" s="109"/>
      <c r="N6" s="134"/>
      <c r="O6" s="134"/>
      <c r="P6" s="134"/>
      <c r="Q6" s="134"/>
      <c r="R6" s="134"/>
      <c r="S6" s="134"/>
      <c r="T6" s="134"/>
      <c r="U6" s="134"/>
      <c r="V6" s="134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10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</row>
    <row r="7" spans="1:56" ht="14.4" hidden="1" x14ac:dyDescent="0.25">
      <c r="A7" s="99" t="s">
        <v>262</v>
      </c>
      <c r="B7" s="94" t="s">
        <v>258</v>
      </c>
      <c r="C7" s="111" t="e">
        <f>+C6/C4</f>
        <v>#DIV/0!</v>
      </c>
      <c r="D7" s="111">
        <v>0.6</v>
      </c>
      <c r="E7" s="113" t="e">
        <f t="shared" ref="E7:AJ7" si="3">E6/E4</f>
        <v>#DIV/0!</v>
      </c>
      <c r="F7" s="114" t="e">
        <f t="shared" si="3"/>
        <v>#DIV/0!</v>
      </c>
      <c r="G7" s="114" t="e">
        <f t="shared" si="3"/>
        <v>#DIV/0!</v>
      </c>
      <c r="H7" s="114" t="e">
        <f t="shared" si="3"/>
        <v>#DIV/0!</v>
      </c>
      <c r="I7" s="114" t="e">
        <f t="shared" si="3"/>
        <v>#DIV/0!</v>
      </c>
      <c r="J7" s="114" t="e">
        <f t="shared" si="3"/>
        <v>#DIV/0!</v>
      </c>
      <c r="K7" s="114" t="e">
        <f t="shared" si="3"/>
        <v>#DIV/0!</v>
      </c>
      <c r="L7" s="114" t="e">
        <f t="shared" si="3"/>
        <v>#DIV/0!</v>
      </c>
      <c r="M7" s="114" t="e">
        <f t="shared" si="3"/>
        <v>#DIV/0!</v>
      </c>
      <c r="N7" s="114" t="e">
        <f t="shared" si="3"/>
        <v>#DIV/0!</v>
      </c>
      <c r="O7" s="114" t="e">
        <f t="shared" si="3"/>
        <v>#DIV/0!</v>
      </c>
      <c r="P7" s="114" t="e">
        <f t="shared" si="3"/>
        <v>#DIV/0!</v>
      </c>
      <c r="Q7" s="114" t="e">
        <f t="shared" si="3"/>
        <v>#DIV/0!</v>
      </c>
      <c r="R7" s="114" t="e">
        <f t="shared" si="3"/>
        <v>#DIV/0!</v>
      </c>
      <c r="S7" s="114" t="e">
        <f t="shared" si="3"/>
        <v>#DIV/0!</v>
      </c>
      <c r="T7" s="114" t="e">
        <f t="shared" si="3"/>
        <v>#DIV/0!</v>
      </c>
      <c r="U7" s="114" t="e">
        <f t="shared" si="3"/>
        <v>#DIV/0!</v>
      </c>
      <c r="V7" s="114" t="e">
        <f t="shared" si="3"/>
        <v>#DIV/0!</v>
      </c>
      <c r="W7" s="114" t="e">
        <f t="shared" si="3"/>
        <v>#DIV/0!</v>
      </c>
      <c r="X7" s="114" t="e">
        <f t="shared" si="3"/>
        <v>#DIV/0!</v>
      </c>
      <c r="Y7" s="114" t="e">
        <f t="shared" si="3"/>
        <v>#DIV/0!</v>
      </c>
      <c r="Z7" s="114" t="e">
        <f t="shared" si="3"/>
        <v>#DIV/0!</v>
      </c>
      <c r="AA7" s="114" t="e">
        <f t="shared" si="3"/>
        <v>#DIV/0!</v>
      </c>
      <c r="AB7" s="114" t="e">
        <f t="shared" si="3"/>
        <v>#DIV/0!</v>
      </c>
      <c r="AC7" s="114" t="e">
        <f t="shared" si="3"/>
        <v>#DIV/0!</v>
      </c>
      <c r="AD7" s="114" t="e">
        <f t="shared" si="3"/>
        <v>#DIV/0!</v>
      </c>
      <c r="AE7" s="114" t="e">
        <f t="shared" si="3"/>
        <v>#DIV/0!</v>
      </c>
      <c r="AF7" s="114" t="e">
        <f t="shared" si="3"/>
        <v>#DIV/0!</v>
      </c>
      <c r="AG7" s="114" t="e">
        <f t="shared" si="3"/>
        <v>#DIV/0!</v>
      </c>
      <c r="AH7" s="114" t="e">
        <f t="shared" si="3"/>
        <v>#DIV/0!</v>
      </c>
      <c r="AI7" s="114" t="e">
        <f t="shared" si="3"/>
        <v>#DIV/0!</v>
      </c>
      <c r="AJ7" s="115" t="e">
        <f t="shared" si="3"/>
        <v>#DIV/0!</v>
      </c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</row>
    <row r="8" spans="1:56" ht="14.4" hidden="1" x14ac:dyDescent="0.25">
      <c r="A8" s="99" t="s">
        <v>263</v>
      </c>
      <c r="B8" s="94" t="s">
        <v>258</v>
      </c>
      <c r="C8" s="112"/>
      <c r="D8" s="112"/>
      <c r="E8" s="140">
        <f>SUM(F8:AJ8)</f>
        <v>0</v>
      </c>
      <c r="F8" s="101"/>
      <c r="G8" s="101"/>
      <c r="H8" s="101"/>
      <c r="I8" s="101"/>
      <c r="J8" s="101"/>
      <c r="K8" s="101"/>
      <c r="L8" s="101"/>
      <c r="M8" s="101"/>
      <c r="N8" s="129"/>
      <c r="O8" s="129"/>
      <c r="P8" s="129"/>
      <c r="Q8" s="129"/>
      <c r="R8" s="129"/>
      <c r="S8" s="129"/>
      <c r="T8" s="129"/>
      <c r="U8" s="129"/>
      <c r="V8" s="129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2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</row>
    <row r="9" spans="1:56" ht="14.4" hidden="1" x14ac:dyDescent="0.25">
      <c r="A9" s="99" t="s">
        <v>264</v>
      </c>
      <c r="B9" s="94" t="s">
        <v>258</v>
      </c>
      <c r="C9" s="112"/>
      <c r="D9" s="112"/>
      <c r="E9" s="113" t="e">
        <f>E8/E4</f>
        <v>#DIV/0!</v>
      </c>
      <c r="F9" s="114" t="e">
        <f t="shared" ref="F9:AJ9" si="4">+F8/F4</f>
        <v>#DIV/0!</v>
      </c>
      <c r="G9" s="114" t="e">
        <f t="shared" si="4"/>
        <v>#DIV/0!</v>
      </c>
      <c r="H9" s="114" t="e">
        <f t="shared" si="4"/>
        <v>#DIV/0!</v>
      </c>
      <c r="I9" s="114" t="e">
        <f t="shared" si="4"/>
        <v>#DIV/0!</v>
      </c>
      <c r="J9" s="114" t="e">
        <f t="shared" si="4"/>
        <v>#DIV/0!</v>
      </c>
      <c r="K9" s="114" t="e">
        <f t="shared" si="4"/>
        <v>#DIV/0!</v>
      </c>
      <c r="L9" s="114" t="e">
        <f t="shared" si="4"/>
        <v>#DIV/0!</v>
      </c>
      <c r="M9" s="114" t="e">
        <f t="shared" si="4"/>
        <v>#DIV/0!</v>
      </c>
      <c r="N9" s="114" t="e">
        <f t="shared" si="4"/>
        <v>#DIV/0!</v>
      </c>
      <c r="O9" s="114" t="e">
        <f t="shared" si="4"/>
        <v>#DIV/0!</v>
      </c>
      <c r="P9" s="114" t="e">
        <f t="shared" si="4"/>
        <v>#DIV/0!</v>
      </c>
      <c r="Q9" s="114" t="e">
        <f t="shared" si="4"/>
        <v>#DIV/0!</v>
      </c>
      <c r="R9" s="114" t="e">
        <f t="shared" si="4"/>
        <v>#DIV/0!</v>
      </c>
      <c r="S9" s="114" t="e">
        <f t="shared" si="4"/>
        <v>#DIV/0!</v>
      </c>
      <c r="T9" s="114" t="e">
        <f t="shared" si="4"/>
        <v>#DIV/0!</v>
      </c>
      <c r="U9" s="114" t="e">
        <f t="shared" si="4"/>
        <v>#DIV/0!</v>
      </c>
      <c r="V9" s="114" t="e">
        <f t="shared" si="4"/>
        <v>#DIV/0!</v>
      </c>
      <c r="W9" s="114" t="e">
        <f t="shared" si="4"/>
        <v>#DIV/0!</v>
      </c>
      <c r="X9" s="114" t="e">
        <f t="shared" si="4"/>
        <v>#DIV/0!</v>
      </c>
      <c r="Y9" s="114" t="e">
        <f t="shared" si="4"/>
        <v>#DIV/0!</v>
      </c>
      <c r="Z9" s="114" t="e">
        <f t="shared" si="4"/>
        <v>#DIV/0!</v>
      </c>
      <c r="AA9" s="114" t="e">
        <f t="shared" si="4"/>
        <v>#DIV/0!</v>
      </c>
      <c r="AB9" s="114" t="e">
        <f t="shared" si="4"/>
        <v>#DIV/0!</v>
      </c>
      <c r="AC9" s="114" t="e">
        <f t="shared" si="4"/>
        <v>#DIV/0!</v>
      </c>
      <c r="AD9" s="114" t="e">
        <f t="shared" si="4"/>
        <v>#DIV/0!</v>
      </c>
      <c r="AE9" s="114" t="e">
        <f t="shared" si="4"/>
        <v>#DIV/0!</v>
      </c>
      <c r="AF9" s="114" t="e">
        <f t="shared" si="4"/>
        <v>#DIV/0!</v>
      </c>
      <c r="AG9" s="114" t="e">
        <f t="shared" si="4"/>
        <v>#DIV/0!</v>
      </c>
      <c r="AH9" s="114" t="e">
        <f t="shared" si="4"/>
        <v>#DIV/0!</v>
      </c>
      <c r="AI9" s="114" t="e">
        <f t="shared" si="4"/>
        <v>#DIV/0!</v>
      </c>
      <c r="AJ9" s="115" t="e">
        <f t="shared" si="4"/>
        <v>#DIV/0!</v>
      </c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</row>
    <row r="10" spans="1:56" ht="14.4" hidden="1" x14ac:dyDescent="0.25">
      <c r="A10" s="116" t="s">
        <v>265</v>
      </c>
      <c r="B10" s="117" t="s">
        <v>258</v>
      </c>
      <c r="C10" s="118"/>
      <c r="D10" s="118"/>
      <c r="E10" s="189">
        <f>SUM(F10:AJ10)</f>
        <v>0</v>
      </c>
      <c r="F10" s="119"/>
      <c r="G10" s="119"/>
      <c r="H10" s="119"/>
      <c r="I10" s="119"/>
      <c r="J10" s="119"/>
      <c r="K10" s="119"/>
      <c r="L10" s="119"/>
      <c r="M10" s="119"/>
      <c r="N10" s="137"/>
      <c r="O10" s="137"/>
      <c r="P10" s="137"/>
      <c r="Q10" s="137"/>
      <c r="R10" s="137"/>
      <c r="S10" s="137"/>
      <c r="T10" s="137"/>
      <c r="U10" s="137"/>
      <c r="V10" s="137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20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</row>
    <row r="11" spans="1:56" ht="14.4" hidden="1" x14ac:dyDescent="0.25">
      <c r="A11" s="99" t="s">
        <v>266</v>
      </c>
      <c r="B11" s="94" t="s">
        <v>258</v>
      </c>
      <c r="C11" s="112"/>
      <c r="D11" s="112"/>
      <c r="E11" s="113" t="e">
        <f>E10/E4</f>
        <v>#DIV/0!</v>
      </c>
      <c r="F11" s="114" t="e">
        <f t="shared" ref="F11:AJ11" si="5">+F10/F4</f>
        <v>#DIV/0!</v>
      </c>
      <c r="G11" s="114" t="e">
        <f t="shared" si="5"/>
        <v>#DIV/0!</v>
      </c>
      <c r="H11" s="114" t="e">
        <f t="shared" si="5"/>
        <v>#DIV/0!</v>
      </c>
      <c r="I11" s="114" t="e">
        <f t="shared" si="5"/>
        <v>#DIV/0!</v>
      </c>
      <c r="J11" s="114" t="e">
        <f t="shared" si="5"/>
        <v>#DIV/0!</v>
      </c>
      <c r="K11" s="114" t="e">
        <f t="shared" si="5"/>
        <v>#DIV/0!</v>
      </c>
      <c r="L11" s="114" t="e">
        <f t="shared" si="5"/>
        <v>#DIV/0!</v>
      </c>
      <c r="M11" s="114" t="e">
        <f t="shared" si="5"/>
        <v>#DIV/0!</v>
      </c>
      <c r="N11" s="114" t="e">
        <f t="shared" si="5"/>
        <v>#DIV/0!</v>
      </c>
      <c r="O11" s="114" t="e">
        <f t="shared" si="5"/>
        <v>#DIV/0!</v>
      </c>
      <c r="P11" s="114" t="e">
        <f t="shared" si="5"/>
        <v>#DIV/0!</v>
      </c>
      <c r="Q11" s="114" t="e">
        <f t="shared" si="5"/>
        <v>#DIV/0!</v>
      </c>
      <c r="R11" s="114" t="e">
        <f t="shared" si="5"/>
        <v>#DIV/0!</v>
      </c>
      <c r="S11" s="114" t="e">
        <f t="shared" si="5"/>
        <v>#DIV/0!</v>
      </c>
      <c r="T11" s="114" t="e">
        <f t="shared" si="5"/>
        <v>#DIV/0!</v>
      </c>
      <c r="U11" s="114" t="e">
        <f t="shared" si="5"/>
        <v>#DIV/0!</v>
      </c>
      <c r="V11" s="114" t="e">
        <f t="shared" si="5"/>
        <v>#DIV/0!</v>
      </c>
      <c r="W11" s="114" t="e">
        <f t="shared" si="5"/>
        <v>#DIV/0!</v>
      </c>
      <c r="X11" s="114" t="e">
        <f t="shared" si="5"/>
        <v>#DIV/0!</v>
      </c>
      <c r="Y11" s="114" t="e">
        <f t="shared" si="5"/>
        <v>#DIV/0!</v>
      </c>
      <c r="Z11" s="114" t="e">
        <f t="shared" si="5"/>
        <v>#DIV/0!</v>
      </c>
      <c r="AA11" s="114" t="e">
        <f t="shared" si="5"/>
        <v>#DIV/0!</v>
      </c>
      <c r="AB11" s="114" t="e">
        <f t="shared" si="5"/>
        <v>#DIV/0!</v>
      </c>
      <c r="AC11" s="114" t="e">
        <f t="shared" si="5"/>
        <v>#DIV/0!</v>
      </c>
      <c r="AD11" s="114" t="e">
        <f t="shared" si="5"/>
        <v>#DIV/0!</v>
      </c>
      <c r="AE11" s="114" t="e">
        <f t="shared" si="5"/>
        <v>#DIV/0!</v>
      </c>
      <c r="AF11" s="114" t="e">
        <f t="shared" si="5"/>
        <v>#DIV/0!</v>
      </c>
      <c r="AG11" s="114" t="e">
        <f t="shared" si="5"/>
        <v>#DIV/0!</v>
      </c>
      <c r="AH11" s="114" t="e">
        <f t="shared" si="5"/>
        <v>#DIV/0!</v>
      </c>
      <c r="AI11" s="114" t="e">
        <f t="shared" si="5"/>
        <v>#DIV/0!</v>
      </c>
      <c r="AJ11" s="115" t="e">
        <f t="shared" si="5"/>
        <v>#DIV/0!</v>
      </c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</row>
    <row r="12" spans="1:56" ht="14.4" hidden="1" x14ac:dyDescent="0.25">
      <c r="A12" s="121" t="s">
        <v>267</v>
      </c>
      <c r="B12" s="138" t="s">
        <v>258</v>
      </c>
      <c r="C12" s="123" t="e">
        <f t="shared" ref="C12:E12" si="6">+C3/C6</f>
        <v>#DIV/0!</v>
      </c>
      <c r="D12" s="123" t="e">
        <f t="shared" si="6"/>
        <v>#DIV/0!</v>
      </c>
      <c r="E12" s="123" t="e">
        <f t="shared" si="6"/>
        <v>#DIV/0!</v>
      </c>
      <c r="F12" s="123" t="e">
        <f t="shared" ref="F12:AJ12" si="7">F3/F6</f>
        <v>#DIV/0!</v>
      </c>
      <c r="G12" s="123" t="e">
        <f t="shared" si="7"/>
        <v>#DIV/0!</v>
      </c>
      <c r="H12" s="123" t="e">
        <f t="shared" si="7"/>
        <v>#DIV/0!</v>
      </c>
      <c r="I12" s="123" t="e">
        <f t="shared" si="7"/>
        <v>#DIV/0!</v>
      </c>
      <c r="J12" s="123" t="e">
        <f t="shared" si="7"/>
        <v>#DIV/0!</v>
      </c>
      <c r="K12" s="123" t="e">
        <f t="shared" si="7"/>
        <v>#DIV/0!</v>
      </c>
      <c r="L12" s="123" t="e">
        <f t="shared" si="7"/>
        <v>#DIV/0!</v>
      </c>
      <c r="M12" s="123" t="e">
        <f t="shared" si="7"/>
        <v>#DIV/0!</v>
      </c>
      <c r="N12" s="123" t="e">
        <f t="shared" si="7"/>
        <v>#DIV/0!</v>
      </c>
      <c r="O12" s="123" t="e">
        <f t="shared" si="7"/>
        <v>#DIV/0!</v>
      </c>
      <c r="P12" s="123" t="e">
        <f t="shared" si="7"/>
        <v>#DIV/0!</v>
      </c>
      <c r="Q12" s="123" t="e">
        <f t="shared" si="7"/>
        <v>#DIV/0!</v>
      </c>
      <c r="R12" s="123" t="e">
        <f t="shared" si="7"/>
        <v>#DIV/0!</v>
      </c>
      <c r="S12" s="123" t="e">
        <f t="shared" si="7"/>
        <v>#DIV/0!</v>
      </c>
      <c r="T12" s="123" t="e">
        <f t="shared" si="7"/>
        <v>#DIV/0!</v>
      </c>
      <c r="U12" s="123" t="e">
        <f t="shared" si="7"/>
        <v>#DIV/0!</v>
      </c>
      <c r="V12" s="123" t="e">
        <f t="shared" si="7"/>
        <v>#DIV/0!</v>
      </c>
      <c r="W12" s="123" t="e">
        <f t="shared" si="7"/>
        <v>#DIV/0!</v>
      </c>
      <c r="X12" s="123" t="e">
        <f t="shared" si="7"/>
        <v>#DIV/0!</v>
      </c>
      <c r="Y12" s="123" t="e">
        <f t="shared" si="7"/>
        <v>#DIV/0!</v>
      </c>
      <c r="Z12" s="123" t="e">
        <f t="shared" si="7"/>
        <v>#DIV/0!</v>
      </c>
      <c r="AA12" s="123" t="e">
        <f t="shared" si="7"/>
        <v>#DIV/0!</v>
      </c>
      <c r="AB12" s="123" t="e">
        <f t="shared" si="7"/>
        <v>#DIV/0!</v>
      </c>
      <c r="AC12" s="123" t="e">
        <f t="shared" si="7"/>
        <v>#DIV/0!</v>
      </c>
      <c r="AD12" s="123" t="e">
        <f t="shared" si="7"/>
        <v>#DIV/0!</v>
      </c>
      <c r="AE12" s="123" t="e">
        <f t="shared" si="7"/>
        <v>#DIV/0!</v>
      </c>
      <c r="AF12" s="123" t="e">
        <f t="shared" si="7"/>
        <v>#DIV/0!</v>
      </c>
      <c r="AG12" s="123" t="e">
        <f t="shared" si="7"/>
        <v>#DIV/0!</v>
      </c>
      <c r="AH12" s="123" t="e">
        <f t="shared" si="7"/>
        <v>#DIV/0!</v>
      </c>
      <c r="AI12" s="123" t="e">
        <f t="shared" si="7"/>
        <v>#DIV/0!</v>
      </c>
      <c r="AJ12" s="123" t="e">
        <f t="shared" si="7"/>
        <v>#DIV/0!</v>
      </c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</row>
    <row r="13" spans="1:56" ht="12.55" hidden="1" x14ac:dyDescent="0.2">
      <c r="A13" s="88"/>
      <c r="B13" s="88"/>
      <c r="C13" s="88"/>
      <c r="D13" s="124"/>
      <c r="E13" s="88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</row>
    <row r="14" spans="1:56" ht="14.4" hidden="1" x14ac:dyDescent="0.25">
      <c r="A14" s="139" t="s">
        <v>288</v>
      </c>
      <c r="B14" s="89"/>
      <c r="C14" s="89"/>
      <c r="D14" s="90"/>
      <c r="E14" s="89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2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</row>
    <row r="15" spans="1:56" ht="14.4" hidden="1" x14ac:dyDescent="0.25">
      <c r="A15" s="93" t="s">
        <v>257</v>
      </c>
      <c r="B15" s="94" t="s">
        <v>258</v>
      </c>
      <c r="C15" s="96">
        <f t="shared" ref="C15:C16" si="8">D15*30</f>
        <v>3600</v>
      </c>
      <c r="D15" s="125">
        <v>120</v>
      </c>
      <c r="E15" s="96">
        <f t="shared" ref="E15:E16" si="9">SUM(F15:AJ15)</f>
        <v>0</v>
      </c>
      <c r="F15" s="97"/>
      <c r="G15" s="97"/>
      <c r="H15" s="104"/>
      <c r="I15" s="104"/>
      <c r="J15" s="126"/>
      <c r="K15" s="126"/>
      <c r="L15" s="126"/>
      <c r="M15" s="126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</row>
    <row r="16" spans="1:56" ht="14.4" hidden="1" x14ac:dyDescent="0.25">
      <c r="A16" s="99" t="s">
        <v>259</v>
      </c>
      <c r="B16" s="94" t="s">
        <v>258</v>
      </c>
      <c r="C16" s="127">
        <f t="shared" si="8"/>
        <v>3600</v>
      </c>
      <c r="D16" s="100">
        <f>D15/D17</f>
        <v>120</v>
      </c>
      <c r="E16" s="140">
        <f t="shared" si="9"/>
        <v>0</v>
      </c>
      <c r="F16" s="128"/>
      <c r="G16" s="128"/>
      <c r="H16" s="128"/>
      <c r="I16" s="128"/>
      <c r="J16" s="129"/>
      <c r="K16" s="129"/>
      <c r="L16" s="129"/>
      <c r="M16" s="129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2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</row>
    <row r="17" spans="1:56" ht="14.4" hidden="1" x14ac:dyDescent="0.25">
      <c r="A17" s="99" t="s">
        <v>260</v>
      </c>
      <c r="B17" s="94" t="s">
        <v>258</v>
      </c>
      <c r="C17" s="96">
        <f>+C15/C16</f>
        <v>1</v>
      </c>
      <c r="D17" s="96">
        <v>1</v>
      </c>
      <c r="E17" s="96" t="e">
        <f>+E15/E16</f>
        <v>#DIV/0!</v>
      </c>
      <c r="F17" s="104" t="e">
        <f t="shared" ref="F17:AJ17" si="10">F15/F16</f>
        <v>#DIV/0!</v>
      </c>
      <c r="G17" s="104" t="e">
        <f t="shared" si="10"/>
        <v>#DIV/0!</v>
      </c>
      <c r="H17" s="104" t="e">
        <f t="shared" si="10"/>
        <v>#DIV/0!</v>
      </c>
      <c r="I17" s="104" t="e">
        <f t="shared" si="10"/>
        <v>#DIV/0!</v>
      </c>
      <c r="J17" s="104" t="e">
        <f t="shared" si="10"/>
        <v>#DIV/0!</v>
      </c>
      <c r="K17" s="104" t="e">
        <f t="shared" si="10"/>
        <v>#DIV/0!</v>
      </c>
      <c r="L17" s="104" t="e">
        <f t="shared" si="10"/>
        <v>#DIV/0!</v>
      </c>
      <c r="M17" s="104" t="e">
        <f t="shared" si="10"/>
        <v>#DIV/0!</v>
      </c>
      <c r="N17" s="104" t="e">
        <f t="shared" si="10"/>
        <v>#DIV/0!</v>
      </c>
      <c r="O17" s="104" t="e">
        <f t="shared" si="10"/>
        <v>#DIV/0!</v>
      </c>
      <c r="P17" s="104" t="e">
        <f t="shared" si="10"/>
        <v>#DIV/0!</v>
      </c>
      <c r="Q17" s="104" t="e">
        <f t="shared" si="10"/>
        <v>#DIV/0!</v>
      </c>
      <c r="R17" s="104" t="e">
        <f t="shared" si="10"/>
        <v>#DIV/0!</v>
      </c>
      <c r="S17" s="104" t="e">
        <f t="shared" si="10"/>
        <v>#DIV/0!</v>
      </c>
      <c r="T17" s="104" t="e">
        <f t="shared" si="10"/>
        <v>#DIV/0!</v>
      </c>
      <c r="U17" s="104" t="e">
        <f t="shared" si="10"/>
        <v>#DIV/0!</v>
      </c>
      <c r="V17" s="104" t="e">
        <f t="shared" si="10"/>
        <v>#DIV/0!</v>
      </c>
      <c r="W17" s="104" t="e">
        <f t="shared" si="10"/>
        <v>#DIV/0!</v>
      </c>
      <c r="X17" s="104" t="e">
        <f t="shared" si="10"/>
        <v>#DIV/0!</v>
      </c>
      <c r="Y17" s="104" t="e">
        <f t="shared" si="10"/>
        <v>#DIV/0!</v>
      </c>
      <c r="Z17" s="104" t="e">
        <f t="shared" si="10"/>
        <v>#DIV/0!</v>
      </c>
      <c r="AA17" s="104" t="e">
        <f t="shared" si="10"/>
        <v>#DIV/0!</v>
      </c>
      <c r="AB17" s="104" t="e">
        <f t="shared" si="10"/>
        <v>#DIV/0!</v>
      </c>
      <c r="AC17" s="104" t="e">
        <f t="shared" si="10"/>
        <v>#DIV/0!</v>
      </c>
      <c r="AD17" s="104" t="e">
        <f t="shared" si="10"/>
        <v>#DIV/0!</v>
      </c>
      <c r="AE17" s="104" t="e">
        <f t="shared" si="10"/>
        <v>#DIV/0!</v>
      </c>
      <c r="AF17" s="104" t="e">
        <f t="shared" si="10"/>
        <v>#DIV/0!</v>
      </c>
      <c r="AG17" s="104" t="e">
        <f t="shared" si="10"/>
        <v>#DIV/0!</v>
      </c>
      <c r="AH17" s="104" t="e">
        <f t="shared" si="10"/>
        <v>#DIV/0!</v>
      </c>
      <c r="AI17" s="104" t="e">
        <f t="shared" si="10"/>
        <v>#DIV/0!</v>
      </c>
      <c r="AJ17" s="104" t="e">
        <f t="shared" si="10"/>
        <v>#DIV/0!</v>
      </c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</row>
    <row r="18" spans="1:56" ht="14.4" hidden="1" x14ac:dyDescent="0.25">
      <c r="A18" s="106" t="s">
        <v>261</v>
      </c>
      <c r="B18" s="130" t="s">
        <v>258</v>
      </c>
      <c r="C18" s="131">
        <f>D18*30</f>
        <v>2160</v>
      </c>
      <c r="D18" s="132">
        <f>+D16*D19</f>
        <v>72</v>
      </c>
      <c r="E18" s="188">
        <f>SUM(F18:AJ18)</f>
        <v>0</v>
      </c>
      <c r="F18" s="133"/>
      <c r="G18" s="133"/>
      <c r="H18" s="133"/>
      <c r="I18" s="133"/>
      <c r="J18" s="134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10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</row>
    <row r="19" spans="1:56" ht="14.4" hidden="1" x14ac:dyDescent="0.25">
      <c r="A19" s="99" t="s">
        <v>262</v>
      </c>
      <c r="B19" s="94" t="s">
        <v>258</v>
      </c>
      <c r="C19" s="111">
        <f>C18/C16</f>
        <v>0.6</v>
      </c>
      <c r="D19" s="111">
        <v>0.6</v>
      </c>
      <c r="E19" s="113" t="e">
        <f t="shared" ref="E19:AJ19" si="11">E18/E16</f>
        <v>#DIV/0!</v>
      </c>
      <c r="F19" s="114" t="e">
        <f t="shared" si="11"/>
        <v>#DIV/0!</v>
      </c>
      <c r="G19" s="114" t="e">
        <f t="shared" si="11"/>
        <v>#DIV/0!</v>
      </c>
      <c r="H19" s="114" t="e">
        <f t="shared" si="11"/>
        <v>#DIV/0!</v>
      </c>
      <c r="I19" s="114" t="e">
        <f t="shared" si="11"/>
        <v>#DIV/0!</v>
      </c>
      <c r="J19" s="114" t="e">
        <f t="shared" si="11"/>
        <v>#DIV/0!</v>
      </c>
      <c r="K19" s="114" t="e">
        <f t="shared" si="11"/>
        <v>#DIV/0!</v>
      </c>
      <c r="L19" s="114" t="e">
        <f t="shared" si="11"/>
        <v>#DIV/0!</v>
      </c>
      <c r="M19" s="114" t="e">
        <f t="shared" si="11"/>
        <v>#DIV/0!</v>
      </c>
      <c r="N19" s="114" t="e">
        <f t="shared" si="11"/>
        <v>#DIV/0!</v>
      </c>
      <c r="O19" s="114" t="e">
        <f t="shared" si="11"/>
        <v>#DIV/0!</v>
      </c>
      <c r="P19" s="114" t="e">
        <f t="shared" si="11"/>
        <v>#DIV/0!</v>
      </c>
      <c r="Q19" s="114" t="e">
        <f t="shared" si="11"/>
        <v>#DIV/0!</v>
      </c>
      <c r="R19" s="114" t="e">
        <f t="shared" si="11"/>
        <v>#DIV/0!</v>
      </c>
      <c r="S19" s="114" t="e">
        <f t="shared" si="11"/>
        <v>#DIV/0!</v>
      </c>
      <c r="T19" s="114" t="e">
        <f t="shared" si="11"/>
        <v>#DIV/0!</v>
      </c>
      <c r="U19" s="114" t="e">
        <f t="shared" si="11"/>
        <v>#DIV/0!</v>
      </c>
      <c r="V19" s="114" t="e">
        <f t="shared" si="11"/>
        <v>#DIV/0!</v>
      </c>
      <c r="W19" s="114" t="e">
        <f t="shared" si="11"/>
        <v>#DIV/0!</v>
      </c>
      <c r="X19" s="114" t="e">
        <f t="shared" si="11"/>
        <v>#DIV/0!</v>
      </c>
      <c r="Y19" s="114" t="e">
        <f t="shared" si="11"/>
        <v>#DIV/0!</v>
      </c>
      <c r="Z19" s="114" t="e">
        <f t="shared" si="11"/>
        <v>#DIV/0!</v>
      </c>
      <c r="AA19" s="114" t="e">
        <f t="shared" si="11"/>
        <v>#DIV/0!</v>
      </c>
      <c r="AB19" s="114" t="e">
        <f t="shared" si="11"/>
        <v>#DIV/0!</v>
      </c>
      <c r="AC19" s="114" t="e">
        <f t="shared" si="11"/>
        <v>#DIV/0!</v>
      </c>
      <c r="AD19" s="114" t="e">
        <f t="shared" si="11"/>
        <v>#DIV/0!</v>
      </c>
      <c r="AE19" s="114" t="e">
        <f t="shared" si="11"/>
        <v>#DIV/0!</v>
      </c>
      <c r="AF19" s="114" t="e">
        <f t="shared" si="11"/>
        <v>#DIV/0!</v>
      </c>
      <c r="AG19" s="114" t="e">
        <f t="shared" si="11"/>
        <v>#DIV/0!</v>
      </c>
      <c r="AH19" s="114" t="e">
        <f t="shared" si="11"/>
        <v>#DIV/0!</v>
      </c>
      <c r="AI19" s="114" t="e">
        <f t="shared" si="11"/>
        <v>#DIV/0!</v>
      </c>
      <c r="AJ19" s="115" t="e">
        <f t="shared" si="11"/>
        <v>#DIV/0!</v>
      </c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</row>
    <row r="20" spans="1:56" ht="14.4" hidden="1" x14ac:dyDescent="0.25">
      <c r="A20" s="99" t="s">
        <v>263</v>
      </c>
      <c r="B20" s="94" t="s">
        <v>258</v>
      </c>
      <c r="C20" s="103"/>
      <c r="D20" s="103"/>
      <c r="E20" s="140">
        <f>SUM(F20:AJ20)</f>
        <v>0</v>
      </c>
      <c r="F20" s="128"/>
      <c r="G20" s="128"/>
      <c r="H20" s="128"/>
      <c r="I20" s="128"/>
      <c r="J20" s="129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2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</row>
    <row r="21" spans="1:56" ht="14.4" hidden="1" x14ac:dyDescent="0.25">
      <c r="A21" s="99" t="s">
        <v>264</v>
      </c>
      <c r="B21" s="94" t="s">
        <v>258</v>
      </c>
      <c r="C21" s="103"/>
      <c r="D21" s="103"/>
      <c r="E21" s="113" t="e">
        <f>E20/E16</f>
        <v>#DIV/0!</v>
      </c>
      <c r="F21" s="114" t="e">
        <f t="shared" ref="F21:AJ21" si="12">+F20/F16</f>
        <v>#DIV/0!</v>
      </c>
      <c r="G21" s="114" t="e">
        <f t="shared" si="12"/>
        <v>#DIV/0!</v>
      </c>
      <c r="H21" s="114" t="e">
        <f t="shared" si="12"/>
        <v>#DIV/0!</v>
      </c>
      <c r="I21" s="114" t="e">
        <f t="shared" si="12"/>
        <v>#DIV/0!</v>
      </c>
      <c r="J21" s="114" t="e">
        <f t="shared" si="12"/>
        <v>#DIV/0!</v>
      </c>
      <c r="K21" s="114" t="e">
        <f t="shared" si="12"/>
        <v>#DIV/0!</v>
      </c>
      <c r="L21" s="114" t="e">
        <f t="shared" si="12"/>
        <v>#DIV/0!</v>
      </c>
      <c r="M21" s="114" t="e">
        <f t="shared" si="12"/>
        <v>#DIV/0!</v>
      </c>
      <c r="N21" s="114" t="e">
        <f t="shared" si="12"/>
        <v>#DIV/0!</v>
      </c>
      <c r="O21" s="114" t="e">
        <f t="shared" si="12"/>
        <v>#DIV/0!</v>
      </c>
      <c r="P21" s="114" t="e">
        <f t="shared" si="12"/>
        <v>#DIV/0!</v>
      </c>
      <c r="Q21" s="114" t="e">
        <f t="shared" si="12"/>
        <v>#DIV/0!</v>
      </c>
      <c r="R21" s="114" t="e">
        <f t="shared" si="12"/>
        <v>#DIV/0!</v>
      </c>
      <c r="S21" s="114" t="e">
        <f t="shared" si="12"/>
        <v>#DIV/0!</v>
      </c>
      <c r="T21" s="114" t="e">
        <f t="shared" si="12"/>
        <v>#DIV/0!</v>
      </c>
      <c r="U21" s="114" t="e">
        <f t="shared" si="12"/>
        <v>#DIV/0!</v>
      </c>
      <c r="V21" s="114" t="e">
        <f t="shared" si="12"/>
        <v>#DIV/0!</v>
      </c>
      <c r="W21" s="114" t="e">
        <f t="shared" si="12"/>
        <v>#DIV/0!</v>
      </c>
      <c r="X21" s="114" t="e">
        <f t="shared" si="12"/>
        <v>#DIV/0!</v>
      </c>
      <c r="Y21" s="114" t="e">
        <f t="shared" si="12"/>
        <v>#DIV/0!</v>
      </c>
      <c r="Z21" s="114" t="e">
        <f t="shared" si="12"/>
        <v>#DIV/0!</v>
      </c>
      <c r="AA21" s="114" t="e">
        <f t="shared" si="12"/>
        <v>#DIV/0!</v>
      </c>
      <c r="AB21" s="114" t="e">
        <f t="shared" si="12"/>
        <v>#DIV/0!</v>
      </c>
      <c r="AC21" s="114" t="e">
        <f t="shared" si="12"/>
        <v>#DIV/0!</v>
      </c>
      <c r="AD21" s="114" t="e">
        <f t="shared" si="12"/>
        <v>#DIV/0!</v>
      </c>
      <c r="AE21" s="114" t="e">
        <f t="shared" si="12"/>
        <v>#DIV/0!</v>
      </c>
      <c r="AF21" s="114" t="e">
        <f t="shared" si="12"/>
        <v>#DIV/0!</v>
      </c>
      <c r="AG21" s="114" t="e">
        <f t="shared" si="12"/>
        <v>#DIV/0!</v>
      </c>
      <c r="AH21" s="114" t="e">
        <f t="shared" si="12"/>
        <v>#DIV/0!</v>
      </c>
      <c r="AI21" s="114" t="e">
        <f t="shared" si="12"/>
        <v>#DIV/0!</v>
      </c>
      <c r="AJ21" s="115" t="e">
        <f t="shared" si="12"/>
        <v>#DIV/0!</v>
      </c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</row>
    <row r="22" spans="1:56" ht="14.4" hidden="1" x14ac:dyDescent="0.25">
      <c r="A22" s="144" t="s">
        <v>265</v>
      </c>
      <c r="B22" s="144" t="s">
        <v>258</v>
      </c>
      <c r="C22" s="145"/>
      <c r="D22" s="145"/>
      <c r="E22" s="189">
        <f>SUM(F22:AJ22)</f>
        <v>0</v>
      </c>
      <c r="F22" s="136"/>
      <c r="G22" s="136"/>
      <c r="H22" s="136"/>
      <c r="I22" s="136"/>
      <c r="J22" s="137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20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</row>
    <row r="23" spans="1:56" ht="14.4" hidden="1" x14ac:dyDescent="0.25">
      <c r="A23" s="99" t="s">
        <v>266</v>
      </c>
      <c r="B23" s="94" t="s">
        <v>258</v>
      </c>
      <c r="C23" s="103"/>
      <c r="D23" s="103"/>
      <c r="E23" s="113" t="e">
        <f>E22/E16</f>
        <v>#DIV/0!</v>
      </c>
      <c r="F23" s="114" t="e">
        <f t="shared" ref="F23:AJ23" si="13">+F22/F16</f>
        <v>#DIV/0!</v>
      </c>
      <c r="G23" s="114" t="e">
        <f t="shared" si="13"/>
        <v>#DIV/0!</v>
      </c>
      <c r="H23" s="114" t="e">
        <f t="shared" si="13"/>
        <v>#DIV/0!</v>
      </c>
      <c r="I23" s="114" t="e">
        <f t="shared" si="13"/>
        <v>#DIV/0!</v>
      </c>
      <c r="J23" s="114" t="e">
        <f t="shared" si="13"/>
        <v>#DIV/0!</v>
      </c>
      <c r="K23" s="114" t="e">
        <f t="shared" si="13"/>
        <v>#DIV/0!</v>
      </c>
      <c r="L23" s="114" t="e">
        <f t="shared" si="13"/>
        <v>#DIV/0!</v>
      </c>
      <c r="M23" s="114" t="e">
        <f t="shared" si="13"/>
        <v>#DIV/0!</v>
      </c>
      <c r="N23" s="114" t="e">
        <f t="shared" si="13"/>
        <v>#DIV/0!</v>
      </c>
      <c r="O23" s="114" t="e">
        <f t="shared" si="13"/>
        <v>#DIV/0!</v>
      </c>
      <c r="P23" s="114" t="e">
        <f t="shared" si="13"/>
        <v>#DIV/0!</v>
      </c>
      <c r="Q23" s="114" t="e">
        <f t="shared" si="13"/>
        <v>#DIV/0!</v>
      </c>
      <c r="R23" s="114" t="e">
        <f t="shared" si="13"/>
        <v>#DIV/0!</v>
      </c>
      <c r="S23" s="114" t="e">
        <f t="shared" si="13"/>
        <v>#DIV/0!</v>
      </c>
      <c r="T23" s="114" t="e">
        <f t="shared" si="13"/>
        <v>#DIV/0!</v>
      </c>
      <c r="U23" s="114" t="e">
        <f t="shared" si="13"/>
        <v>#DIV/0!</v>
      </c>
      <c r="V23" s="114" t="e">
        <f t="shared" si="13"/>
        <v>#DIV/0!</v>
      </c>
      <c r="W23" s="114" t="e">
        <f t="shared" si="13"/>
        <v>#DIV/0!</v>
      </c>
      <c r="X23" s="114" t="e">
        <f t="shared" si="13"/>
        <v>#DIV/0!</v>
      </c>
      <c r="Y23" s="114" t="e">
        <f t="shared" si="13"/>
        <v>#DIV/0!</v>
      </c>
      <c r="Z23" s="114" t="e">
        <f t="shared" si="13"/>
        <v>#DIV/0!</v>
      </c>
      <c r="AA23" s="114" t="e">
        <f t="shared" si="13"/>
        <v>#DIV/0!</v>
      </c>
      <c r="AB23" s="114" t="e">
        <f t="shared" si="13"/>
        <v>#DIV/0!</v>
      </c>
      <c r="AC23" s="114" t="e">
        <f t="shared" si="13"/>
        <v>#DIV/0!</v>
      </c>
      <c r="AD23" s="114" t="e">
        <f t="shared" si="13"/>
        <v>#DIV/0!</v>
      </c>
      <c r="AE23" s="114" t="e">
        <f t="shared" si="13"/>
        <v>#DIV/0!</v>
      </c>
      <c r="AF23" s="114" t="e">
        <f t="shared" si="13"/>
        <v>#DIV/0!</v>
      </c>
      <c r="AG23" s="114" t="e">
        <f t="shared" si="13"/>
        <v>#DIV/0!</v>
      </c>
      <c r="AH23" s="114" t="e">
        <f t="shared" si="13"/>
        <v>#DIV/0!</v>
      </c>
      <c r="AI23" s="114" t="e">
        <f t="shared" si="13"/>
        <v>#DIV/0!</v>
      </c>
      <c r="AJ23" s="115" t="e">
        <f t="shared" si="13"/>
        <v>#DIV/0!</v>
      </c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</row>
    <row r="24" spans="1:56" ht="14.4" hidden="1" x14ac:dyDescent="0.25">
      <c r="A24" s="121" t="s">
        <v>267</v>
      </c>
      <c r="B24" s="138" t="s">
        <v>258</v>
      </c>
      <c r="C24" s="123">
        <f t="shared" ref="C24:E24" si="14">+C15/C18</f>
        <v>1.6666666666666667</v>
      </c>
      <c r="D24" s="123">
        <f t="shared" si="14"/>
        <v>1.6666666666666667</v>
      </c>
      <c r="E24" s="123" t="e">
        <f t="shared" si="14"/>
        <v>#DIV/0!</v>
      </c>
      <c r="F24" s="123" t="e">
        <f t="shared" ref="F24:AJ24" si="15">F15/F18</f>
        <v>#DIV/0!</v>
      </c>
      <c r="G24" s="123" t="e">
        <f t="shared" si="15"/>
        <v>#DIV/0!</v>
      </c>
      <c r="H24" s="123" t="e">
        <f t="shared" si="15"/>
        <v>#DIV/0!</v>
      </c>
      <c r="I24" s="123" t="e">
        <f t="shared" si="15"/>
        <v>#DIV/0!</v>
      </c>
      <c r="J24" s="123" t="e">
        <f t="shared" si="15"/>
        <v>#DIV/0!</v>
      </c>
      <c r="K24" s="123" t="e">
        <f t="shared" si="15"/>
        <v>#DIV/0!</v>
      </c>
      <c r="L24" s="123" t="e">
        <f t="shared" si="15"/>
        <v>#DIV/0!</v>
      </c>
      <c r="M24" s="123" t="e">
        <f t="shared" si="15"/>
        <v>#DIV/0!</v>
      </c>
      <c r="N24" s="123" t="e">
        <f t="shared" si="15"/>
        <v>#DIV/0!</v>
      </c>
      <c r="O24" s="123" t="e">
        <f t="shared" si="15"/>
        <v>#DIV/0!</v>
      </c>
      <c r="P24" s="123" t="e">
        <f t="shared" si="15"/>
        <v>#DIV/0!</v>
      </c>
      <c r="Q24" s="123" t="e">
        <f t="shared" si="15"/>
        <v>#DIV/0!</v>
      </c>
      <c r="R24" s="123" t="e">
        <f t="shared" si="15"/>
        <v>#DIV/0!</v>
      </c>
      <c r="S24" s="123" t="e">
        <f t="shared" si="15"/>
        <v>#DIV/0!</v>
      </c>
      <c r="T24" s="123" t="e">
        <f t="shared" si="15"/>
        <v>#DIV/0!</v>
      </c>
      <c r="U24" s="123" t="e">
        <f t="shared" si="15"/>
        <v>#DIV/0!</v>
      </c>
      <c r="V24" s="123" t="e">
        <f t="shared" si="15"/>
        <v>#DIV/0!</v>
      </c>
      <c r="W24" s="123" t="e">
        <f t="shared" si="15"/>
        <v>#DIV/0!</v>
      </c>
      <c r="X24" s="123" t="e">
        <f t="shared" si="15"/>
        <v>#DIV/0!</v>
      </c>
      <c r="Y24" s="123" t="e">
        <f t="shared" si="15"/>
        <v>#DIV/0!</v>
      </c>
      <c r="Z24" s="123" t="e">
        <f t="shared" si="15"/>
        <v>#DIV/0!</v>
      </c>
      <c r="AA24" s="123" t="e">
        <f t="shared" si="15"/>
        <v>#DIV/0!</v>
      </c>
      <c r="AB24" s="123" t="e">
        <f t="shared" si="15"/>
        <v>#DIV/0!</v>
      </c>
      <c r="AC24" s="123" t="e">
        <f t="shared" si="15"/>
        <v>#DIV/0!</v>
      </c>
      <c r="AD24" s="123" t="e">
        <f t="shared" si="15"/>
        <v>#DIV/0!</v>
      </c>
      <c r="AE24" s="123" t="e">
        <f t="shared" si="15"/>
        <v>#DIV/0!</v>
      </c>
      <c r="AF24" s="123" t="e">
        <f t="shared" si="15"/>
        <v>#DIV/0!</v>
      </c>
      <c r="AG24" s="123" t="e">
        <f t="shared" si="15"/>
        <v>#DIV/0!</v>
      </c>
      <c r="AH24" s="123" t="e">
        <f t="shared" si="15"/>
        <v>#DIV/0!</v>
      </c>
      <c r="AI24" s="123" t="e">
        <f t="shared" si="15"/>
        <v>#DIV/0!</v>
      </c>
      <c r="AJ24" s="123" t="e">
        <f t="shared" si="15"/>
        <v>#DIV/0!</v>
      </c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</row>
    <row r="25" spans="1:56" ht="12.55" hidden="1" x14ac:dyDescent="0.2">
      <c r="A25" s="88"/>
      <c r="B25" s="88"/>
      <c r="C25" s="88"/>
      <c r="D25" s="124"/>
      <c r="E25" s="88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</row>
    <row r="26" spans="1:56" ht="14.4" hidden="1" x14ac:dyDescent="0.25">
      <c r="A26" s="139" t="s">
        <v>268</v>
      </c>
      <c r="B26" s="89"/>
      <c r="C26" s="89"/>
      <c r="D26" s="90"/>
      <c r="E26" s="89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2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</row>
    <row r="27" spans="1:56" ht="14.4" hidden="1" x14ac:dyDescent="0.25">
      <c r="A27" s="93" t="s">
        <v>257</v>
      </c>
      <c r="B27" s="94" t="s">
        <v>258</v>
      </c>
      <c r="C27" s="96">
        <f t="shared" ref="C27:C28" si="16">D27*30</f>
        <v>3600</v>
      </c>
      <c r="D27" s="125">
        <v>120</v>
      </c>
      <c r="E27" s="96">
        <f t="shared" ref="E27:E28" si="17">SUM(F27:AJ27)</f>
        <v>0</v>
      </c>
      <c r="F27" s="97"/>
      <c r="G27" s="97"/>
      <c r="H27" s="104"/>
      <c r="I27" s="104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</row>
    <row r="28" spans="1:56" ht="14.4" hidden="1" x14ac:dyDescent="0.25">
      <c r="A28" s="99" t="s">
        <v>259</v>
      </c>
      <c r="B28" s="94" t="s">
        <v>258</v>
      </c>
      <c r="C28" s="127">
        <f t="shared" si="16"/>
        <v>3600</v>
      </c>
      <c r="D28" s="100">
        <f>D27/D29</f>
        <v>120</v>
      </c>
      <c r="E28" s="140">
        <f t="shared" si="17"/>
        <v>0</v>
      </c>
      <c r="F28" s="128"/>
      <c r="G28" s="128"/>
      <c r="H28" s="128"/>
      <c r="I28" s="128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2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</row>
    <row r="29" spans="1:56" ht="14.4" hidden="1" x14ac:dyDescent="0.25">
      <c r="A29" s="99" t="s">
        <v>260</v>
      </c>
      <c r="B29" s="94" t="s">
        <v>258</v>
      </c>
      <c r="C29" s="96">
        <f>+C27/C28</f>
        <v>1</v>
      </c>
      <c r="D29" s="96">
        <v>1</v>
      </c>
      <c r="E29" s="96" t="e">
        <f>+E27/E28</f>
        <v>#DIV/0!</v>
      </c>
      <c r="F29" s="104" t="e">
        <f t="shared" ref="F29:AJ29" si="18">F27/F28</f>
        <v>#DIV/0!</v>
      </c>
      <c r="G29" s="104" t="e">
        <f t="shared" si="18"/>
        <v>#DIV/0!</v>
      </c>
      <c r="H29" s="104" t="e">
        <f t="shared" si="18"/>
        <v>#DIV/0!</v>
      </c>
      <c r="I29" s="104" t="e">
        <f t="shared" si="18"/>
        <v>#DIV/0!</v>
      </c>
      <c r="J29" s="104" t="e">
        <f t="shared" si="18"/>
        <v>#DIV/0!</v>
      </c>
      <c r="K29" s="104" t="e">
        <f t="shared" si="18"/>
        <v>#DIV/0!</v>
      </c>
      <c r="L29" s="104" t="e">
        <f t="shared" si="18"/>
        <v>#DIV/0!</v>
      </c>
      <c r="M29" s="104" t="e">
        <f t="shared" si="18"/>
        <v>#DIV/0!</v>
      </c>
      <c r="N29" s="104" t="e">
        <f t="shared" si="18"/>
        <v>#DIV/0!</v>
      </c>
      <c r="O29" s="104" t="e">
        <f t="shared" si="18"/>
        <v>#DIV/0!</v>
      </c>
      <c r="P29" s="104" t="e">
        <f t="shared" si="18"/>
        <v>#DIV/0!</v>
      </c>
      <c r="Q29" s="104" t="e">
        <f t="shared" si="18"/>
        <v>#DIV/0!</v>
      </c>
      <c r="R29" s="104" t="e">
        <f t="shared" si="18"/>
        <v>#DIV/0!</v>
      </c>
      <c r="S29" s="104" t="e">
        <f t="shared" si="18"/>
        <v>#DIV/0!</v>
      </c>
      <c r="T29" s="104" t="e">
        <f t="shared" si="18"/>
        <v>#DIV/0!</v>
      </c>
      <c r="U29" s="104" t="e">
        <f t="shared" si="18"/>
        <v>#DIV/0!</v>
      </c>
      <c r="V29" s="104" t="e">
        <f t="shared" si="18"/>
        <v>#DIV/0!</v>
      </c>
      <c r="W29" s="104" t="e">
        <f t="shared" si="18"/>
        <v>#DIV/0!</v>
      </c>
      <c r="X29" s="104" t="e">
        <f t="shared" si="18"/>
        <v>#DIV/0!</v>
      </c>
      <c r="Y29" s="104" t="e">
        <f t="shared" si="18"/>
        <v>#DIV/0!</v>
      </c>
      <c r="Z29" s="104" t="e">
        <f t="shared" si="18"/>
        <v>#DIV/0!</v>
      </c>
      <c r="AA29" s="104" t="e">
        <f t="shared" si="18"/>
        <v>#DIV/0!</v>
      </c>
      <c r="AB29" s="104" t="e">
        <f t="shared" si="18"/>
        <v>#DIV/0!</v>
      </c>
      <c r="AC29" s="104" t="e">
        <f t="shared" si="18"/>
        <v>#DIV/0!</v>
      </c>
      <c r="AD29" s="104" t="e">
        <f t="shared" si="18"/>
        <v>#DIV/0!</v>
      </c>
      <c r="AE29" s="104" t="e">
        <f t="shared" si="18"/>
        <v>#DIV/0!</v>
      </c>
      <c r="AF29" s="104" t="e">
        <f t="shared" si="18"/>
        <v>#DIV/0!</v>
      </c>
      <c r="AG29" s="104" t="e">
        <f t="shared" si="18"/>
        <v>#DIV/0!</v>
      </c>
      <c r="AH29" s="104" t="e">
        <f t="shared" si="18"/>
        <v>#DIV/0!</v>
      </c>
      <c r="AI29" s="104" t="e">
        <f t="shared" si="18"/>
        <v>#DIV/0!</v>
      </c>
      <c r="AJ29" s="104" t="e">
        <f t="shared" si="18"/>
        <v>#DIV/0!</v>
      </c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</row>
    <row r="30" spans="1:56" ht="14.4" hidden="1" x14ac:dyDescent="0.25">
      <c r="A30" s="106" t="s">
        <v>261</v>
      </c>
      <c r="B30" s="107" t="s">
        <v>258</v>
      </c>
      <c r="C30" s="131">
        <f>D30*30</f>
        <v>2160</v>
      </c>
      <c r="D30" s="132">
        <f>+D28*D31</f>
        <v>72</v>
      </c>
      <c r="E30" s="188">
        <f>SUM(F30:AJ30)</f>
        <v>0</v>
      </c>
      <c r="F30" s="133"/>
      <c r="G30" s="133"/>
      <c r="H30" s="133"/>
      <c r="I30" s="133"/>
      <c r="J30" s="134"/>
      <c r="K30" s="109"/>
      <c r="L30" s="109"/>
      <c r="M30" s="109"/>
      <c r="N30" s="109"/>
      <c r="O30" s="134"/>
      <c r="P30" s="134"/>
      <c r="Q30" s="134"/>
      <c r="R30" s="134"/>
      <c r="S30" s="134"/>
      <c r="T30" s="134"/>
      <c r="U30" s="134"/>
      <c r="V30" s="134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10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</row>
    <row r="31" spans="1:56" ht="14.4" hidden="1" x14ac:dyDescent="0.25">
      <c r="A31" s="99" t="s">
        <v>262</v>
      </c>
      <c r="B31" s="94" t="s">
        <v>258</v>
      </c>
      <c r="C31" s="111">
        <f>C30/C28</f>
        <v>0.6</v>
      </c>
      <c r="D31" s="111">
        <v>0.6</v>
      </c>
      <c r="E31" s="113" t="e">
        <f t="shared" ref="E31:AJ31" si="19">E30/E28</f>
        <v>#DIV/0!</v>
      </c>
      <c r="F31" s="114" t="e">
        <f t="shared" si="19"/>
        <v>#DIV/0!</v>
      </c>
      <c r="G31" s="114" t="e">
        <f t="shared" si="19"/>
        <v>#DIV/0!</v>
      </c>
      <c r="H31" s="114" t="e">
        <f t="shared" si="19"/>
        <v>#DIV/0!</v>
      </c>
      <c r="I31" s="114" t="e">
        <f t="shared" si="19"/>
        <v>#DIV/0!</v>
      </c>
      <c r="J31" s="114" t="e">
        <f t="shared" si="19"/>
        <v>#DIV/0!</v>
      </c>
      <c r="K31" s="114" t="e">
        <f t="shared" si="19"/>
        <v>#DIV/0!</v>
      </c>
      <c r="L31" s="114" t="e">
        <f t="shared" si="19"/>
        <v>#DIV/0!</v>
      </c>
      <c r="M31" s="114" t="e">
        <f t="shared" si="19"/>
        <v>#DIV/0!</v>
      </c>
      <c r="N31" s="114" t="e">
        <f t="shared" si="19"/>
        <v>#DIV/0!</v>
      </c>
      <c r="O31" s="114" t="e">
        <f t="shared" si="19"/>
        <v>#DIV/0!</v>
      </c>
      <c r="P31" s="114" t="e">
        <f t="shared" si="19"/>
        <v>#DIV/0!</v>
      </c>
      <c r="Q31" s="114" t="e">
        <f t="shared" si="19"/>
        <v>#DIV/0!</v>
      </c>
      <c r="R31" s="114" t="e">
        <f t="shared" si="19"/>
        <v>#DIV/0!</v>
      </c>
      <c r="S31" s="114" t="e">
        <f t="shared" si="19"/>
        <v>#DIV/0!</v>
      </c>
      <c r="T31" s="114" t="e">
        <f t="shared" si="19"/>
        <v>#DIV/0!</v>
      </c>
      <c r="U31" s="114" t="e">
        <f t="shared" si="19"/>
        <v>#DIV/0!</v>
      </c>
      <c r="V31" s="114" t="e">
        <f t="shared" si="19"/>
        <v>#DIV/0!</v>
      </c>
      <c r="W31" s="114" t="e">
        <f t="shared" si="19"/>
        <v>#DIV/0!</v>
      </c>
      <c r="X31" s="114" t="e">
        <f t="shared" si="19"/>
        <v>#DIV/0!</v>
      </c>
      <c r="Y31" s="114" t="e">
        <f t="shared" si="19"/>
        <v>#DIV/0!</v>
      </c>
      <c r="Z31" s="114" t="e">
        <f t="shared" si="19"/>
        <v>#DIV/0!</v>
      </c>
      <c r="AA31" s="114" t="e">
        <f t="shared" si="19"/>
        <v>#DIV/0!</v>
      </c>
      <c r="AB31" s="114" t="e">
        <f t="shared" si="19"/>
        <v>#DIV/0!</v>
      </c>
      <c r="AC31" s="114" t="e">
        <f t="shared" si="19"/>
        <v>#DIV/0!</v>
      </c>
      <c r="AD31" s="114" t="e">
        <f t="shared" si="19"/>
        <v>#DIV/0!</v>
      </c>
      <c r="AE31" s="114" t="e">
        <f t="shared" si="19"/>
        <v>#DIV/0!</v>
      </c>
      <c r="AF31" s="114" t="e">
        <f t="shared" si="19"/>
        <v>#DIV/0!</v>
      </c>
      <c r="AG31" s="114" t="e">
        <f t="shared" si="19"/>
        <v>#DIV/0!</v>
      </c>
      <c r="AH31" s="114" t="e">
        <f t="shared" si="19"/>
        <v>#DIV/0!</v>
      </c>
      <c r="AI31" s="114" t="e">
        <f t="shared" si="19"/>
        <v>#DIV/0!</v>
      </c>
      <c r="AJ31" s="115" t="e">
        <f t="shared" si="19"/>
        <v>#DIV/0!</v>
      </c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</row>
    <row r="32" spans="1:56" ht="14.4" hidden="1" x14ac:dyDescent="0.25">
      <c r="A32" s="99" t="s">
        <v>263</v>
      </c>
      <c r="B32" s="94" t="s">
        <v>258</v>
      </c>
      <c r="C32" s="112"/>
      <c r="D32" s="112"/>
      <c r="E32" s="140">
        <f>SUM(F32:AJ32)</f>
        <v>0</v>
      </c>
      <c r="F32" s="128"/>
      <c r="G32" s="128"/>
      <c r="H32" s="128"/>
      <c r="I32" s="128"/>
      <c r="J32" s="129"/>
      <c r="K32" s="101"/>
      <c r="L32" s="101"/>
      <c r="M32" s="101"/>
      <c r="N32" s="101"/>
      <c r="O32" s="129"/>
      <c r="P32" s="129"/>
      <c r="Q32" s="129"/>
      <c r="R32" s="129"/>
      <c r="S32" s="129"/>
      <c r="T32" s="129"/>
      <c r="U32" s="129"/>
      <c r="V32" s="129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2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</row>
    <row r="33" spans="1:56" ht="14.4" hidden="1" x14ac:dyDescent="0.25">
      <c r="A33" s="99" t="s">
        <v>264</v>
      </c>
      <c r="B33" s="94" t="s">
        <v>258</v>
      </c>
      <c r="C33" s="112"/>
      <c r="D33" s="112"/>
      <c r="E33" s="113" t="e">
        <f t="shared" ref="E33:AJ33" si="20">E32/E28</f>
        <v>#DIV/0!</v>
      </c>
      <c r="F33" s="114" t="e">
        <f t="shared" si="20"/>
        <v>#DIV/0!</v>
      </c>
      <c r="G33" s="114" t="e">
        <f t="shared" si="20"/>
        <v>#DIV/0!</v>
      </c>
      <c r="H33" s="114" t="e">
        <f t="shared" si="20"/>
        <v>#DIV/0!</v>
      </c>
      <c r="I33" s="114" t="e">
        <f t="shared" si="20"/>
        <v>#DIV/0!</v>
      </c>
      <c r="J33" s="114" t="e">
        <f t="shared" si="20"/>
        <v>#DIV/0!</v>
      </c>
      <c r="K33" s="114" t="e">
        <f t="shared" si="20"/>
        <v>#DIV/0!</v>
      </c>
      <c r="L33" s="114" t="e">
        <f t="shared" si="20"/>
        <v>#DIV/0!</v>
      </c>
      <c r="M33" s="114" t="e">
        <f t="shared" si="20"/>
        <v>#DIV/0!</v>
      </c>
      <c r="N33" s="114" t="e">
        <f t="shared" si="20"/>
        <v>#DIV/0!</v>
      </c>
      <c r="O33" s="114" t="e">
        <f t="shared" si="20"/>
        <v>#DIV/0!</v>
      </c>
      <c r="P33" s="114" t="e">
        <f t="shared" si="20"/>
        <v>#DIV/0!</v>
      </c>
      <c r="Q33" s="114" t="e">
        <f t="shared" si="20"/>
        <v>#DIV/0!</v>
      </c>
      <c r="R33" s="114" t="e">
        <f t="shared" si="20"/>
        <v>#DIV/0!</v>
      </c>
      <c r="S33" s="114" t="e">
        <f t="shared" si="20"/>
        <v>#DIV/0!</v>
      </c>
      <c r="T33" s="114" t="e">
        <f t="shared" si="20"/>
        <v>#DIV/0!</v>
      </c>
      <c r="U33" s="114" t="e">
        <f t="shared" si="20"/>
        <v>#DIV/0!</v>
      </c>
      <c r="V33" s="114" t="e">
        <f t="shared" si="20"/>
        <v>#DIV/0!</v>
      </c>
      <c r="W33" s="114" t="e">
        <f t="shared" si="20"/>
        <v>#DIV/0!</v>
      </c>
      <c r="X33" s="114" t="e">
        <f t="shared" si="20"/>
        <v>#DIV/0!</v>
      </c>
      <c r="Y33" s="114" t="e">
        <f t="shared" si="20"/>
        <v>#DIV/0!</v>
      </c>
      <c r="Z33" s="114" t="e">
        <f t="shared" si="20"/>
        <v>#DIV/0!</v>
      </c>
      <c r="AA33" s="114" t="e">
        <f t="shared" si="20"/>
        <v>#DIV/0!</v>
      </c>
      <c r="AB33" s="114" t="e">
        <f t="shared" si="20"/>
        <v>#DIV/0!</v>
      </c>
      <c r="AC33" s="114" t="e">
        <f t="shared" si="20"/>
        <v>#DIV/0!</v>
      </c>
      <c r="AD33" s="114" t="e">
        <f t="shared" si="20"/>
        <v>#DIV/0!</v>
      </c>
      <c r="AE33" s="114" t="e">
        <f t="shared" si="20"/>
        <v>#DIV/0!</v>
      </c>
      <c r="AF33" s="114" t="e">
        <f t="shared" si="20"/>
        <v>#DIV/0!</v>
      </c>
      <c r="AG33" s="114" t="e">
        <f t="shared" si="20"/>
        <v>#DIV/0!</v>
      </c>
      <c r="AH33" s="114" t="e">
        <f t="shared" si="20"/>
        <v>#DIV/0!</v>
      </c>
      <c r="AI33" s="114" t="e">
        <f t="shared" si="20"/>
        <v>#DIV/0!</v>
      </c>
      <c r="AJ33" s="115" t="e">
        <f t="shared" si="20"/>
        <v>#DIV/0!</v>
      </c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</row>
    <row r="34" spans="1:56" ht="14.4" hidden="1" x14ac:dyDescent="0.25">
      <c r="A34" s="116" t="s">
        <v>265</v>
      </c>
      <c r="B34" s="144" t="s">
        <v>258</v>
      </c>
      <c r="C34" s="145"/>
      <c r="D34" s="145"/>
      <c r="E34" s="189">
        <f>SUM(F34:AJ34)</f>
        <v>0</v>
      </c>
      <c r="F34" s="146"/>
      <c r="G34" s="146"/>
      <c r="H34" s="146"/>
      <c r="I34" s="146"/>
      <c r="J34" s="137"/>
      <c r="K34" s="119"/>
      <c r="L34" s="119"/>
      <c r="M34" s="119"/>
      <c r="N34" s="119"/>
      <c r="O34" s="137"/>
      <c r="P34" s="137"/>
      <c r="Q34" s="137"/>
      <c r="R34" s="137"/>
      <c r="S34" s="137"/>
      <c r="T34" s="137"/>
      <c r="U34" s="137"/>
      <c r="V34" s="137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20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</row>
    <row r="35" spans="1:56" ht="14.4" hidden="1" x14ac:dyDescent="0.25">
      <c r="A35" s="99" t="s">
        <v>266</v>
      </c>
      <c r="B35" s="94" t="s">
        <v>258</v>
      </c>
      <c r="C35" s="112"/>
      <c r="D35" s="112"/>
      <c r="E35" s="113" t="e">
        <f t="shared" ref="E35:AJ35" si="21">E34/E28</f>
        <v>#DIV/0!</v>
      </c>
      <c r="F35" s="114" t="e">
        <f t="shared" si="21"/>
        <v>#DIV/0!</v>
      </c>
      <c r="G35" s="114" t="e">
        <f t="shared" si="21"/>
        <v>#DIV/0!</v>
      </c>
      <c r="H35" s="114" t="e">
        <f t="shared" si="21"/>
        <v>#DIV/0!</v>
      </c>
      <c r="I35" s="114" t="e">
        <f t="shared" si="21"/>
        <v>#DIV/0!</v>
      </c>
      <c r="J35" s="114" t="e">
        <f t="shared" si="21"/>
        <v>#DIV/0!</v>
      </c>
      <c r="K35" s="114" t="e">
        <f t="shared" si="21"/>
        <v>#DIV/0!</v>
      </c>
      <c r="L35" s="114" t="e">
        <f t="shared" si="21"/>
        <v>#DIV/0!</v>
      </c>
      <c r="M35" s="114" t="e">
        <f t="shared" si="21"/>
        <v>#DIV/0!</v>
      </c>
      <c r="N35" s="114" t="e">
        <f t="shared" si="21"/>
        <v>#DIV/0!</v>
      </c>
      <c r="O35" s="114" t="e">
        <f t="shared" si="21"/>
        <v>#DIV/0!</v>
      </c>
      <c r="P35" s="114" t="e">
        <f t="shared" si="21"/>
        <v>#DIV/0!</v>
      </c>
      <c r="Q35" s="114" t="e">
        <f t="shared" si="21"/>
        <v>#DIV/0!</v>
      </c>
      <c r="R35" s="114" t="e">
        <f t="shared" si="21"/>
        <v>#DIV/0!</v>
      </c>
      <c r="S35" s="114" t="e">
        <f t="shared" si="21"/>
        <v>#DIV/0!</v>
      </c>
      <c r="T35" s="114" t="e">
        <f t="shared" si="21"/>
        <v>#DIV/0!</v>
      </c>
      <c r="U35" s="114" t="e">
        <f t="shared" si="21"/>
        <v>#DIV/0!</v>
      </c>
      <c r="V35" s="114" t="e">
        <f t="shared" si="21"/>
        <v>#DIV/0!</v>
      </c>
      <c r="W35" s="114" t="e">
        <f t="shared" si="21"/>
        <v>#DIV/0!</v>
      </c>
      <c r="X35" s="114" t="e">
        <f t="shared" si="21"/>
        <v>#DIV/0!</v>
      </c>
      <c r="Y35" s="114" t="e">
        <f t="shared" si="21"/>
        <v>#DIV/0!</v>
      </c>
      <c r="Z35" s="114" t="e">
        <f t="shared" si="21"/>
        <v>#DIV/0!</v>
      </c>
      <c r="AA35" s="114" t="e">
        <f t="shared" si="21"/>
        <v>#DIV/0!</v>
      </c>
      <c r="AB35" s="114" t="e">
        <f t="shared" si="21"/>
        <v>#DIV/0!</v>
      </c>
      <c r="AC35" s="114" t="e">
        <f t="shared" si="21"/>
        <v>#DIV/0!</v>
      </c>
      <c r="AD35" s="114" t="e">
        <f t="shared" si="21"/>
        <v>#DIV/0!</v>
      </c>
      <c r="AE35" s="114" t="e">
        <f t="shared" si="21"/>
        <v>#DIV/0!</v>
      </c>
      <c r="AF35" s="114" t="e">
        <f t="shared" si="21"/>
        <v>#DIV/0!</v>
      </c>
      <c r="AG35" s="114" t="e">
        <f t="shared" si="21"/>
        <v>#DIV/0!</v>
      </c>
      <c r="AH35" s="114" t="e">
        <f t="shared" si="21"/>
        <v>#DIV/0!</v>
      </c>
      <c r="AI35" s="114" t="e">
        <f t="shared" si="21"/>
        <v>#DIV/0!</v>
      </c>
      <c r="AJ35" s="115" t="e">
        <f t="shared" si="21"/>
        <v>#DIV/0!</v>
      </c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</row>
    <row r="36" spans="1:56" ht="14.4" hidden="1" x14ac:dyDescent="0.25">
      <c r="A36" s="121" t="s">
        <v>267</v>
      </c>
      <c r="B36" s="122" t="s">
        <v>258</v>
      </c>
      <c r="C36" s="123">
        <f t="shared" ref="C36:E36" si="22">+C27/C30</f>
        <v>1.6666666666666667</v>
      </c>
      <c r="D36" s="123">
        <f t="shared" si="22"/>
        <v>1.6666666666666667</v>
      </c>
      <c r="E36" s="123" t="e">
        <f t="shared" si="22"/>
        <v>#DIV/0!</v>
      </c>
      <c r="F36" s="142" t="e">
        <f t="shared" ref="F36:AJ36" si="23">F27/F30</f>
        <v>#DIV/0!</v>
      </c>
      <c r="G36" s="142" t="e">
        <f t="shared" si="23"/>
        <v>#DIV/0!</v>
      </c>
      <c r="H36" s="142" t="e">
        <f t="shared" si="23"/>
        <v>#DIV/0!</v>
      </c>
      <c r="I36" s="142" t="e">
        <f t="shared" si="23"/>
        <v>#DIV/0!</v>
      </c>
      <c r="J36" s="142" t="e">
        <f t="shared" si="23"/>
        <v>#DIV/0!</v>
      </c>
      <c r="K36" s="142" t="e">
        <f t="shared" si="23"/>
        <v>#DIV/0!</v>
      </c>
      <c r="L36" s="142" t="e">
        <f t="shared" si="23"/>
        <v>#DIV/0!</v>
      </c>
      <c r="M36" s="142" t="e">
        <f t="shared" si="23"/>
        <v>#DIV/0!</v>
      </c>
      <c r="N36" s="142" t="e">
        <f t="shared" si="23"/>
        <v>#DIV/0!</v>
      </c>
      <c r="O36" s="142" t="e">
        <f t="shared" si="23"/>
        <v>#DIV/0!</v>
      </c>
      <c r="P36" s="142" t="e">
        <f t="shared" si="23"/>
        <v>#DIV/0!</v>
      </c>
      <c r="Q36" s="142" t="e">
        <f t="shared" si="23"/>
        <v>#DIV/0!</v>
      </c>
      <c r="R36" s="142" t="e">
        <f t="shared" si="23"/>
        <v>#DIV/0!</v>
      </c>
      <c r="S36" s="142" t="e">
        <f t="shared" si="23"/>
        <v>#DIV/0!</v>
      </c>
      <c r="T36" s="142" t="e">
        <f t="shared" si="23"/>
        <v>#DIV/0!</v>
      </c>
      <c r="U36" s="142" t="e">
        <f t="shared" si="23"/>
        <v>#DIV/0!</v>
      </c>
      <c r="V36" s="142" t="e">
        <f t="shared" si="23"/>
        <v>#DIV/0!</v>
      </c>
      <c r="W36" s="142" t="e">
        <f t="shared" si="23"/>
        <v>#DIV/0!</v>
      </c>
      <c r="X36" s="142" t="e">
        <f t="shared" si="23"/>
        <v>#DIV/0!</v>
      </c>
      <c r="Y36" s="142" t="e">
        <f t="shared" si="23"/>
        <v>#DIV/0!</v>
      </c>
      <c r="Z36" s="142" t="e">
        <f t="shared" si="23"/>
        <v>#DIV/0!</v>
      </c>
      <c r="AA36" s="142" t="e">
        <f t="shared" si="23"/>
        <v>#DIV/0!</v>
      </c>
      <c r="AB36" s="142" t="e">
        <f t="shared" si="23"/>
        <v>#DIV/0!</v>
      </c>
      <c r="AC36" s="142" t="e">
        <f t="shared" si="23"/>
        <v>#DIV/0!</v>
      </c>
      <c r="AD36" s="142" t="e">
        <f t="shared" si="23"/>
        <v>#DIV/0!</v>
      </c>
      <c r="AE36" s="142" t="e">
        <f t="shared" si="23"/>
        <v>#DIV/0!</v>
      </c>
      <c r="AF36" s="142" t="e">
        <f t="shared" si="23"/>
        <v>#DIV/0!</v>
      </c>
      <c r="AG36" s="142" t="e">
        <f t="shared" si="23"/>
        <v>#DIV/0!</v>
      </c>
      <c r="AH36" s="142" t="e">
        <f t="shared" si="23"/>
        <v>#DIV/0!</v>
      </c>
      <c r="AI36" s="142" t="e">
        <f t="shared" si="23"/>
        <v>#DIV/0!</v>
      </c>
      <c r="AJ36" s="142" t="e">
        <f t="shared" si="23"/>
        <v>#DIV/0!</v>
      </c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</row>
    <row r="37" spans="1:56" ht="12.55" hidden="1" x14ac:dyDescent="0.2">
      <c r="A37" s="88"/>
      <c r="B37" s="88"/>
      <c r="C37" s="88"/>
      <c r="D37" s="88"/>
      <c r="E37" s="88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</row>
    <row r="38" spans="1:56" ht="14.4" x14ac:dyDescent="0.25">
      <c r="A38" s="139" t="s">
        <v>289</v>
      </c>
      <c r="B38" s="89"/>
      <c r="C38" s="89"/>
      <c r="D38" s="90"/>
      <c r="E38" s="89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2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</row>
    <row r="39" spans="1:56" ht="14.4" x14ac:dyDescent="0.25">
      <c r="A39" s="93" t="s">
        <v>257</v>
      </c>
      <c r="B39" s="94" t="s">
        <v>258</v>
      </c>
      <c r="C39" s="96">
        <f t="shared" ref="C39:C40" si="24">D39*30</f>
        <v>3600</v>
      </c>
      <c r="D39" s="125">
        <v>120</v>
      </c>
      <c r="E39" s="96">
        <f t="shared" ref="E39:E40" si="25">SUM(F39:AJ39)</f>
        <v>115.17</v>
      </c>
      <c r="F39" s="97"/>
      <c r="G39" s="97"/>
      <c r="H39" s="104"/>
      <c r="I39" s="104"/>
      <c r="J39" s="126"/>
      <c r="K39" s="126"/>
      <c r="L39" s="126"/>
      <c r="M39" s="126"/>
      <c r="N39" s="97"/>
      <c r="O39" s="97"/>
      <c r="P39" s="97"/>
      <c r="Q39" s="97"/>
      <c r="R39" s="97"/>
      <c r="S39" s="97"/>
      <c r="T39" s="97"/>
      <c r="U39" s="97"/>
      <c r="V39" s="97"/>
      <c r="W39" s="126">
        <v>21.43</v>
      </c>
      <c r="X39" s="126">
        <v>23.95</v>
      </c>
      <c r="Y39" s="126">
        <v>28.68</v>
      </c>
      <c r="Z39" s="126">
        <v>28.38</v>
      </c>
      <c r="AA39" s="126">
        <v>12.73</v>
      </c>
      <c r="AB39" s="97"/>
      <c r="AC39" s="97"/>
      <c r="AD39" s="97"/>
      <c r="AE39" s="97"/>
      <c r="AF39" s="97"/>
      <c r="AG39" s="97"/>
      <c r="AH39" s="97"/>
      <c r="AI39" s="97"/>
      <c r="AJ39" s="98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</row>
    <row r="40" spans="1:56" ht="14.4" x14ac:dyDescent="0.25">
      <c r="A40" s="99" t="s">
        <v>259</v>
      </c>
      <c r="B40" s="94" t="s">
        <v>258</v>
      </c>
      <c r="C40" s="127">
        <f t="shared" si="24"/>
        <v>3600</v>
      </c>
      <c r="D40" s="100">
        <f>D39/D41</f>
        <v>120</v>
      </c>
      <c r="E40" s="140">
        <f t="shared" si="25"/>
        <v>115</v>
      </c>
      <c r="F40" s="128"/>
      <c r="G40" s="128"/>
      <c r="H40" s="128"/>
      <c r="I40" s="128"/>
      <c r="J40" s="129"/>
      <c r="K40" s="129"/>
      <c r="L40" s="129"/>
      <c r="M40" s="129"/>
      <c r="N40" s="101"/>
      <c r="O40" s="101"/>
      <c r="P40" s="101"/>
      <c r="Q40" s="101"/>
      <c r="R40" s="101"/>
      <c r="S40" s="101"/>
      <c r="T40" s="101"/>
      <c r="U40" s="101"/>
      <c r="V40" s="101"/>
      <c r="W40" s="129">
        <v>23</v>
      </c>
      <c r="X40" s="129">
        <v>30</v>
      </c>
      <c r="Y40" s="129">
        <v>27</v>
      </c>
      <c r="Z40" s="129">
        <v>22</v>
      </c>
      <c r="AA40" s="129">
        <v>13</v>
      </c>
      <c r="AB40" s="101"/>
      <c r="AC40" s="101"/>
      <c r="AD40" s="101"/>
      <c r="AE40" s="101"/>
      <c r="AF40" s="101"/>
      <c r="AG40" s="101"/>
      <c r="AH40" s="101"/>
      <c r="AI40" s="101"/>
      <c r="AJ40" s="102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</row>
    <row r="41" spans="1:56" ht="14.4" x14ac:dyDescent="0.25">
      <c r="A41" s="99" t="s">
        <v>260</v>
      </c>
      <c r="B41" s="94" t="s">
        <v>258</v>
      </c>
      <c r="C41" s="96">
        <f>+C39/C40</f>
        <v>1</v>
      </c>
      <c r="D41" s="96">
        <v>1</v>
      </c>
      <c r="E41" s="96">
        <f>+E39/E40</f>
        <v>1.0014782608695652</v>
      </c>
      <c r="F41" s="104" t="e">
        <f t="shared" ref="F41:AJ41" si="26">F39/F40</f>
        <v>#DIV/0!</v>
      </c>
      <c r="G41" s="104" t="e">
        <f t="shared" si="26"/>
        <v>#DIV/0!</v>
      </c>
      <c r="H41" s="104" t="e">
        <f t="shared" si="26"/>
        <v>#DIV/0!</v>
      </c>
      <c r="I41" s="104" t="e">
        <f t="shared" si="26"/>
        <v>#DIV/0!</v>
      </c>
      <c r="J41" s="104" t="e">
        <f t="shared" si="26"/>
        <v>#DIV/0!</v>
      </c>
      <c r="K41" s="104" t="e">
        <f t="shared" si="26"/>
        <v>#DIV/0!</v>
      </c>
      <c r="L41" s="104" t="e">
        <f t="shared" si="26"/>
        <v>#DIV/0!</v>
      </c>
      <c r="M41" s="104" t="e">
        <f t="shared" si="26"/>
        <v>#DIV/0!</v>
      </c>
      <c r="N41" s="104" t="e">
        <f t="shared" si="26"/>
        <v>#DIV/0!</v>
      </c>
      <c r="O41" s="104" t="e">
        <f t="shared" si="26"/>
        <v>#DIV/0!</v>
      </c>
      <c r="P41" s="104" t="e">
        <f t="shared" si="26"/>
        <v>#DIV/0!</v>
      </c>
      <c r="Q41" s="104" t="e">
        <f t="shared" si="26"/>
        <v>#DIV/0!</v>
      </c>
      <c r="R41" s="104" t="e">
        <f t="shared" si="26"/>
        <v>#DIV/0!</v>
      </c>
      <c r="S41" s="104" t="e">
        <f t="shared" si="26"/>
        <v>#DIV/0!</v>
      </c>
      <c r="T41" s="104" t="e">
        <f t="shared" si="26"/>
        <v>#DIV/0!</v>
      </c>
      <c r="U41" s="104" t="e">
        <f t="shared" si="26"/>
        <v>#DIV/0!</v>
      </c>
      <c r="V41" s="104" t="e">
        <f t="shared" si="26"/>
        <v>#DIV/0!</v>
      </c>
      <c r="W41" s="104">
        <f t="shared" si="26"/>
        <v>0.93173913043478263</v>
      </c>
      <c r="X41" s="104">
        <f t="shared" si="26"/>
        <v>0.79833333333333334</v>
      </c>
      <c r="Y41" s="104">
        <f t="shared" si="26"/>
        <v>1.0622222222222222</v>
      </c>
      <c r="Z41" s="104">
        <f t="shared" si="26"/>
        <v>1.29</v>
      </c>
      <c r="AA41" s="104">
        <f t="shared" si="26"/>
        <v>0.97923076923076924</v>
      </c>
      <c r="AB41" s="104" t="e">
        <f t="shared" si="26"/>
        <v>#DIV/0!</v>
      </c>
      <c r="AC41" s="104" t="e">
        <f t="shared" si="26"/>
        <v>#DIV/0!</v>
      </c>
      <c r="AD41" s="104" t="e">
        <f t="shared" si="26"/>
        <v>#DIV/0!</v>
      </c>
      <c r="AE41" s="104" t="e">
        <f t="shared" si="26"/>
        <v>#DIV/0!</v>
      </c>
      <c r="AF41" s="104" t="e">
        <f t="shared" si="26"/>
        <v>#DIV/0!</v>
      </c>
      <c r="AG41" s="104" t="e">
        <f t="shared" si="26"/>
        <v>#DIV/0!</v>
      </c>
      <c r="AH41" s="104" t="e">
        <f t="shared" si="26"/>
        <v>#DIV/0!</v>
      </c>
      <c r="AI41" s="104" t="e">
        <f t="shared" si="26"/>
        <v>#DIV/0!</v>
      </c>
      <c r="AJ41" s="104" t="e">
        <f t="shared" si="26"/>
        <v>#DIV/0!</v>
      </c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</row>
    <row r="42" spans="1:56" ht="14.4" x14ac:dyDescent="0.25">
      <c r="A42" s="106" t="s">
        <v>261</v>
      </c>
      <c r="B42" s="107" t="s">
        <v>258</v>
      </c>
      <c r="C42" s="131">
        <f>D42*30</f>
        <v>2160</v>
      </c>
      <c r="D42" s="132">
        <f>+D40*D43</f>
        <v>72</v>
      </c>
      <c r="E42" s="188">
        <f>SUM(F42:AJ42)</f>
        <v>5</v>
      </c>
      <c r="F42" s="133"/>
      <c r="G42" s="133"/>
      <c r="H42" s="133"/>
      <c r="I42" s="133"/>
      <c r="J42" s="134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34">
        <v>3</v>
      </c>
      <c r="X42" s="134">
        <v>2</v>
      </c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10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</row>
    <row r="43" spans="1:56" ht="14.4" x14ac:dyDescent="0.25">
      <c r="A43" s="99" t="s">
        <v>262</v>
      </c>
      <c r="B43" s="94" t="s">
        <v>258</v>
      </c>
      <c r="C43" s="111">
        <f>C42/C40</f>
        <v>0.6</v>
      </c>
      <c r="D43" s="111">
        <v>0.6</v>
      </c>
      <c r="E43" s="113">
        <f t="shared" ref="E43:AJ43" si="27">E42/E40</f>
        <v>4.3478260869565216E-2</v>
      </c>
      <c r="F43" s="114" t="e">
        <f t="shared" si="27"/>
        <v>#DIV/0!</v>
      </c>
      <c r="G43" s="114" t="e">
        <f t="shared" si="27"/>
        <v>#DIV/0!</v>
      </c>
      <c r="H43" s="114" t="e">
        <f t="shared" si="27"/>
        <v>#DIV/0!</v>
      </c>
      <c r="I43" s="114" t="e">
        <f t="shared" si="27"/>
        <v>#DIV/0!</v>
      </c>
      <c r="J43" s="114" t="e">
        <f t="shared" si="27"/>
        <v>#DIV/0!</v>
      </c>
      <c r="K43" s="114" t="e">
        <f t="shared" si="27"/>
        <v>#DIV/0!</v>
      </c>
      <c r="L43" s="114" t="e">
        <f t="shared" si="27"/>
        <v>#DIV/0!</v>
      </c>
      <c r="M43" s="114" t="e">
        <f t="shared" si="27"/>
        <v>#DIV/0!</v>
      </c>
      <c r="N43" s="114" t="e">
        <f t="shared" si="27"/>
        <v>#DIV/0!</v>
      </c>
      <c r="O43" s="114" t="e">
        <f t="shared" si="27"/>
        <v>#DIV/0!</v>
      </c>
      <c r="P43" s="114" t="e">
        <f t="shared" si="27"/>
        <v>#DIV/0!</v>
      </c>
      <c r="Q43" s="114" t="e">
        <f t="shared" si="27"/>
        <v>#DIV/0!</v>
      </c>
      <c r="R43" s="114" t="e">
        <f t="shared" si="27"/>
        <v>#DIV/0!</v>
      </c>
      <c r="S43" s="114" t="e">
        <f t="shared" si="27"/>
        <v>#DIV/0!</v>
      </c>
      <c r="T43" s="114" t="e">
        <f t="shared" si="27"/>
        <v>#DIV/0!</v>
      </c>
      <c r="U43" s="114" t="e">
        <f t="shared" si="27"/>
        <v>#DIV/0!</v>
      </c>
      <c r="V43" s="114" t="e">
        <f t="shared" si="27"/>
        <v>#DIV/0!</v>
      </c>
      <c r="W43" s="114">
        <f t="shared" si="27"/>
        <v>0.13043478260869565</v>
      </c>
      <c r="X43" s="114">
        <f t="shared" si="27"/>
        <v>6.6666666666666666E-2</v>
      </c>
      <c r="Y43" s="114">
        <f t="shared" si="27"/>
        <v>0</v>
      </c>
      <c r="Z43" s="114">
        <f t="shared" si="27"/>
        <v>0</v>
      </c>
      <c r="AA43" s="114">
        <f t="shared" si="27"/>
        <v>0</v>
      </c>
      <c r="AB43" s="114" t="e">
        <f t="shared" si="27"/>
        <v>#DIV/0!</v>
      </c>
      <c r="AC43" s="114" t="e">
        <f t="shared" si="27"/>
        <v>#DIV/0!</v>
      </c>
      <c r="AD43" s="114" t="e">
        <f t="shared" si="27"/>
        <v>#DIV/0!</v>
      </c>
      <c r="AE43" s="114" t="e">
        <f t="shared" si="27"/>
        <v>#DIV/0!</v>
      </c>
      <c r="AF43" s="114" t="e">
        <f t="shared" si="27"/>
        <v>#DIV/0!</v>
      </c>
      <c r="AG43" s="114" t="e">
        <f t="shared" si="27"/>
        <v>#DIV/0!</v>
      </c>
      <c r="AH43" s="114" t="e">
        <f t="shared" si="27"/>
        <v>#DIV/0!</v>
      </c>
      <c r="AI43" s="114" t="e">
        <f t="shared" si="27"/>
        <v>#DIV/0!</v>
      </c>
      <c r="AJ43" s="115" t="e">
        <f t="shared" si="27"/>
        <v>#DIV/0!</v>
      </c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</row>
    <row r="44" spans="1:56" ht="14.4" x14ac:dyDescent="0.25">
      <c r="A44" s="99" t="s">
        <v>263</v>
      </c>
      <c r="B44" s="94" t="s">
        <v>258</v>
      </c>
      <c r="C44" s="112"/>
      <c r="D44" s="112"/>
      <c r="E44" s="140">
        <f>SUM(F44:AJ44)</f>
        <v>18</v>
      </c>
      <c r="F44" s="128"/>
      <c r="G44" s="128"/>
      <c r="H44" s="128"/>
      <c r="I44" s="128"/>
      <c r="J44" s="129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29">
        <v>8</v>
      </c>
      <c r="X44" s="129">
        <v>10</v>
      </c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2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</row>
    <row r="45" spans="1:56" ht="14.4" x14ac:dyDescent="0.25">
      <c r="A45" s="99" t="s">
        <v>264</v>
      </c>
      <c r="B45" s="94" t="s">
        <v>258</v>
      </c>
      <c r="C45" s="112"/>
      <c r="D45" s="112"/>
      <c r="E45" s="113">
        <f t="shared" ref="E45:AJ45" si="28">E44/E40</f>
        <v>0.15652173913043479</v>
      </c>
      <c r="F45" s="114" t="e">
        <f t="shared" si="28"/>
        <v>#DIV/0!</v>
      </c>
      <c r="G45" s="114" t="e">
        <f t="shared" si="28"/>
        <v>#DIV/0!</v>
      </c>
      <c r="H45" s="114" t="e">
        <f t="shared" si="28"/>
        <v>#DIV/0!</v>
      </c>
      <c r="I45" s="114" t="e">
        <f t="shared" si="28"/>
        <v>#DIV/0!</v>
      </c>
      <c r="J45" s="114" t="e">
        <f t="shared" si="28"/>
        <v>#DIV/0!</v>
      </c>
      <c r="K45" s="114" t="e">
        <f t="shared" si="28"/>
        <v>#DIV/0!</v>
      </c>
      <c r="L45" s="114" t="e">
        <f t="shared" si="28"/>
        <v>#DIV/0!</v>
      </c>
      <c r="M45" s="114" t="e">
        <f t="shared" si="28"/>
        <v>#DIV/0!</v>
      </c>
      <c r="N45" s="114" t="e">
        <f t="shared" si="28"/>
        <v>#DIV/0!</v>
      </c>
      <c r="O45" s="114" t="e">
        <f t="shared" si="28"/>
        <v>#DIV/0!</v>
      </c>
      <c r="P45" s="114" t="e">
        <f t="shared" si="28"/>
        <v>#DIV/0!</v>
      </c>
      <c r="Q45" s="114" t="e">
        <f t="shared" si="28"/>
        <v>#DIV/0!</v>
      </c>
      <c r="R45" s="114" t="e">
        <f t="shared" si="28"/>
        <v>#DIV/0!</v>
      </c>
      <c r="S45" s="114" t="e">
        <f t="shared" si="28"/>
        <v>#DIV/0!</v>
      </c>
      <c r="T45" s="114" t="e">
        <f t="shared" si="28"/>
        <v>#DIV/0!</v>
      </c>
      <c r="U45" s="114" t="e">
        <f t="shared" si="28"/>
        <v>#DIV/0!</v>
      </c>
      <c r="V45" s="114" t="e">
        <f t="shared" si="28"/>
        <v>#DIV/0!</v>
      </c>
      <c r="W45" s="114">
        <f t="shared" si="28"/>
        <v>0.34782608695652173</v>
      </c>
      <c r="X45" s="114">
        <f t="shared" si="28"/>
        <v>0.33333333333333331</v>
      </c>
      <c r="Y45" s="114">
        <f t="shared" si="28"/>
        <v>0</v>
      </c>
      <c r="Z45" s="114">
        <f t="shared" si="28"/>
        <v>0</v>
      </c>
      <c r="AA45" s="114">
        <f t="shared" si="28"/>
        <v>0</v>
      </c>
      <c r="AB45" s="114" t="e">
        <f t="shared" si="28"/>
        <v>#DIV/0!</v>
      </c>
      <c r="AC45" s="114" t="e">
        <f t="shared" si="28"/>
        <v>#DIV/0!</v>
      </c>
      <c r="AD45" s="114" t="e">
        <f t="shared" si="28"/>
        <v>#DIV/0!</v>
      </c>
      <c r="AE45" s="114" t="e">
        <f t="shared" si="28"/>
        <v>#DIV/0!</v>
      </c>
      <c r="AF45" s="114" t="e">
        <f t="shared" si="28"/>
        <v>#DIV/0!</v>
      </c>
      <c r="AG45" s="114" t="e">
        <f t="shared" si="28"/>
        <v>#DIV/0!</v>
      </c>
      <c r="AH45" s="114" t="e">
        <f t="shared" si="28"/>
        <v>#DIV/0!</v>
      </c>
      <c r="AI45" s="114" t="e">
        <f t="shared" si="28"/>
        <v>#DIV/0!</v>
      </c>
      <c r="AJ45" s="115" t="e">
        <f t="shared" si="28"/>
        <v>#DIV/0!</v>
      </c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</row>
    <row r="46" spans="1:56" ht="14.4" x14ac:dyDescent="0.25">
      <c r="A46" s="116" t="s">
        <v>265</v>
      </c>
      <c r="B46" s="144" t="s">
        <v>258</v>
      </c>
      <c r="C46" s="145"/>
      <c r="D46" s="145"/>
      <c r="E46" s="189">
        <f>SUM(F46:AJ46)</f>
        <v>30</v>
      </c>
      <c r="F46" s="146"/>
      <c r="G46" s="146"/>
      <c r="H46" s="146"/>
      <c r="I46" s="146"/>
      <c r="J46" s="137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37">
        <v>12</v>
      </c>
      <c r="X46" s="137">
        <v>18</v>
      </c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20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</row>
    <row r="47" spans="1:56" ht="14.4" x14ac:dyDescent="0.25">
      <c r="A47" s="99" t="s">
        <v>266</v>
      </c>
      <c r="B47" s="94" t="s">
        <v>258</v>
      </c>
      <c r="C47" s="112"/>
      <c r="D47" s="112"/>
      <c r="E47" s="113">
        <f t="shared" ref="E47:AJ47" si="29">E46/E40</f>
        <v>0.2608695652173913</v>
      </c>
      <c r="F47" s="114" t="e">
        <f t="shared" si="29"/>
        <v>#DIV/0!</v>
      </c>
      <c r="G47" s="114" t="e">
        <f t="shared" si="29"/>
        <v>#DIV/0!</v>
      </c>
      <c r="H47" s="114" t="e">
        <f t="shared" si="29"/>
        <v>#DIV/0!</v>
      </c>
      <c r="I47" s="114" t="e">
        <f t="shared" si="29"/>
        <v>#DIV/0!</v>
      </c>
      <c r="J47" s="114" t="e">
        <f t="shared" si="29"/>
        <v>#DIV/0!</v>
      </c>
      <c r="K47" s="114" t="e">
        <f t="shared" si="29"/>
        <v>#DIV/0!</v>
      </c>
      <c r="L47" s="114" t="e">
        <f t="shared" si="29"/>
        <v>#DIV/0!</v>
      </c>
      <c r="M47" s="114" t="e">
        <f t="shared" si="29"/>
        <v>#DIV/0!</v>
      </c>
      <c r="N47" s="114" t="e">
        <f t="shared" si="29"/>
        <v>#DIV/0!</v>
      </c>
      <c r="O47" s="114" t="e">
        <f t="shared" si="29"/>
        <v>#DIV/0!</v>
      </c>
      <c r="P47" s="114" t="e">
        <f t="shared" si="29"/>
        <v>#DIV/0!</v>
      </c>
      <c r="Q47" s="114" t="e">
        <f t="shared" si="29"/>
        <v>#DIV/0!</v>
      </c>
      <c r="R47" s="114" t="e">
        <f t="shared" si="29"/>
        <v>#DIV/0!</v>
      </c>
      <c r="S47" s="114" t="e">
        <f t="shared" si="29"/>
        <v>#DIV/0!</v>
      </c>
      <c r="T47" s="114" t="e">
        <f t="shared" si="29"/>
        <v>#DIV/0!</v>
      </c>
      <c r="U47" s="114" t="e">
        <f t="shared" si="29"/>
        <v>#DIV/0!</v>
      </c>
      <c r="V47" s="114" t="e">
        <f t="shared" si="29"/>
        <v>#DIV/0!</v>
      </c>
      <c r="W47" s="114">
        <f t="shared" si="29"/>
        <v>0.52173913043478259</v>
      </c>
      <c r="X47" s="114">
        <f t="shared" si="29"/>
        <v>0.6</v>
      </c>
      <c r="Y47" s="114">
        <f t="shared" si="29"/>
        <v>0</v>
      </c>
      <c r="Z47" s="114">
        <f t="shared" si="29"/>
        <v>0</v>
      </c>
      <c r="AA47" s="114">
        <f t="shared" si="29"/>
        <v>0</v>
      </c>
      <c r="AB47" s="114" t="e">
        <f t="shared" si="29"/>
        <v>#DIV/0!</v>
      </c>
      <c r="AC47" s="114" t="e">
        <f t="shared" si="29"/>
        <v>#DIV/0!</v>
      </c>
      <c r="AD47" s="114" t="e">
        <f t="shared" si="29"/>
        <v>#DIV/0!</v>
      </c>
      <c r="AE47" s="114" t="e">
        <f t="shared" si="29"/>
        <v>#DIV/0!</v>
      </c>
      <c r="AF47" s="114" t="e">
        <f t="shared" si="29"/>
        <v>#DIV/0!</v>
      </c>
      <c r="AG47" s="114" t="e">
        <f t="shared" si="29"/>
        <v>#DIV/0!</v>
      </c>
      <c r="AH47" s="114" t="e">
        <f t="shared" si="29"/>
        <v>#DIV/0!</v>
      </c>
      <c r="AI47" s="114" t="e">
        <f t="shared" si="29"/>
        <v>#DIV/0!</v>
      </c>
      <c r="AJ47" s="115" t="e">
        <f t="shared" si="29"/>
        <v>#DIV/0!</v>
      </c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</row>
    <row r="48" spans="1:56" ht="14.4" x14ac:dyDescent="0.25">
      <c r="A48" s="121" t="s">
        <v>267</v>
      </c>
      <c r="B48" s="122" t="s">
        <v>258</v>
      </c>
      <c r="C48" s="123">
        <f t="shared" ref="C48:E48" si="30">+C39/C42</f>
        <v>1.6666666666666667</v>
      </c>
      <c r="D48" s="123">
        <f t="shared" si="30"/>
        <v>1.6666666666666667</v>
      </c>
      <c r="E48" s="123">
        <f t="shared" si="30"/>
        <v>23.033999999999999</v>
      </c>
      <c r="F48" s="142" t="e">
        <f t="shared" ref="F48:AJ48" si="31">F39/F42</f>
        <v>#DIV/0!</v>
      </c>
      <c r="G48" s="142" t="e">
        <f t="shared" si="31"/>
        <v>#DIV/0!</v>
      </c>
      <c r="H48" s="142" t="e">
        <f t="shared" si="31"/>
        <v>#DIV/0!</v>
      </c>
      <c r="I48" s="142" t="e">
        <f t="shared" si="31"/>
        <v>#DIV/0!</v>
      </c>
      <c r="J48" s="142" t="e">
        <f t="shared" si="31"/>
        <v>#DIV/0!</v>
      </c>
      <c r="K48" s="142" t="e">
        <f t="shared" si="31"/>
        <v>#DIV/0!</v>
      </c>
      <c r="L48" s="142" t="e">
        <f t="shared" si="31"/>
        <v>#DIV/0!</v>
      </c>
      <c r="M48" s="142" t="e">
        <f t="shared" si="31"/>
        <v>#DIV/0!</v>
      </c>
      <c r="N48" s="142" t="e">
        <f t="shared" si="31"/>
        <v>#DIV/0!</v>
      </c>
      <c r="O48" s="142" t="e">
        <f t="shared" si="31"/>
        <v>#DIV/0!</v>
      </c>
      <c r="P48" s="142" t="e">
        <f t="shared" si="31"/>
        <v>#DIV/0!</v>
      </c>
      <c r="Q48" s="142" t="e">
        <f t="shared" si="31"/>
        <v>#DIV/0!</v>
      </c>
      <c r="R48" s="142" t="e">
        <f t="shared" si="31"/>
        <v>#DIV/0!</v>
      </c>
      <c r="S48" s="142" t="e">
        <f t="shared" si="31"/>
        <v>#DIV/0!</v>
      </c>
      <c r="T48" s="142" t="e">
        <f t="shared" si="31"/>
        <v>#DIV/0!</v>
      </c>
      <c r="U48" s="142" t="e">
        <f t="shared" si="31"/>
        <v>#DIV/0!</v>
      </c>
      <c r="V48" s="142" t="e">
        <f t="shared" si="31"/>
        <v>#DIV/0!</v>
      </c>
      <c r="W48" s="142">
        <f t="shared" si="31"/>
        <v>7.1433333333333335</v>
      </c>
      <c r="X48" s="142">
        <f t="shared" si="31"/>
        <v>11.975</v>
      </c>
      <c r="Y48" s="142" t="e">
        <f t="shared" si="31"/>
        <v>#DIV/0!</v>
      </c>
      <c r="Z48" s="142" t="e">
        <f t="shared" si="31"/>
        <v>#DIV/0!</v>
      </c>
      <c r="AA48" s="142" t="e">
        <f t="shared" si="31"/>
        <v>#DIV/0!</v>
      </c>
      <c r="AB48" s="142" t="e">
        <f t="shared" si="31"/>
        <v>#DIV/0!</v>
      </c>
      <c r="AC48" s="142" t="e">
        <f t="shared" si="31"/>
        <v>#DIV/0!</v>
      </c>
      <c r="AD48" s="142" t="e">
        <f t="shared" si="31"/>
        <v>#DIV/0!</v>
      </c>
      <c r="AE48" s="142" t="e">
        <f t="shared" si="31"/>
        <v>#DIV/0!</v>
      </c>
      <c r="AF48" s="142" t="e">
        <f t="shared" si="31"/>
        <v>#DIV/0!</v>
      </c>
      <c r="AG48" s="142" t="e">
        <f t="shared" si="31"/>
        <v>#DIV/0!</v>
      </c>
      <c r="AH48" s="142" t="e">
        <f t="shared" si="31"/>
        <v>#DIV/0!</v>
      </c>
      <c r="AI48" s="142" t="e">
        <f t="shared" si="31"/>
        <v>#DIV/0!</v>
      </c>
      <c r="AJ48" s="142" t="e">
        <f t="shared" si="31"/>
        <v>#DIV/0!</v>
      </c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</row>
    <row r="49" spans="1:56" ht="12.55" x14ac:dyDescent="0.2">
      <c r="A49" s="88"/>
      <c r="B49" s="88"/>
      <c r="C49" s="88"/>
      <c r="D49" s="88"/>
      <c r="E49" s="88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</row>
    <row r="50" spans="1:56" ht="14.4" x14ac:dyDescent="0.25">
      <c r="A50" s="139" t="s">
        <v>270</v>
      </c>
      <c r="B50" s="89"/>
      <c r="C50" s="89"/>
      <c r="D50" s="90"/>
      <c r="E50" s="89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2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</row>
    <row r="51" spans="1:56" ht="14.4" x14ac:dyDescent="0.25">
      <c r="A51" s="190" t="s">
        <v>257</v>
      </c>
      <c r="B51" s="191" t="s">
        <v>258</v>
      </c>
      <c r="C51" s="192">
        <f t="shared" ref="C51:D51" si="32">+C27+C15+C3</f>
        <v>7200</v>
      </c>
      <c r="D51" s="192">
        <f t="shared" si="32"/>
        <v>240</v>
      </c>
      <c r="E51" s="192">
        <f t="shared" ref="E51:AJ51" si="33">+E3+E15+E27+E39</f>
        <v>115.17</v>
      </c>
      <c r="F51" s="192">
        <f t="shared" si="33"/>
        <v>0</v>
      </c>
      <c r="G51" s="192">
        <f t="shared" si="33"/>
        <v>0</v>
      </c>
      <c r="H51" s="192">
        <f t="shared" si="33"/>
        <v>0</v>
      </c>
      <c r="I51" s="192">
        <f t="shared" si="33"/>
        <v>0</v>
      </c>
      <c r="J51" s="192">
        <f t="shared" si="33"/>
        <v>0</v>
      </c>
      <c r="K51" s="192">
        <f t="shared" si="33"/>
        <v>0</v>
      </c>
      <c r="L51" s="192">
        <f t="shared" si="33"/>
        <v>0</v>
      </c>
      <c r="M51" s="192">
        <f t="shared" si="33"/>
        <v>0</v>
      </c>
      <c r="N51" s="192">
        <f t="shared" si="33"/>
        <v>0</v>
      </c>
      <c r="O51" s="192">
        <f t="shared" si="33"/>
        <v>0</v>
      </c>
      <c r="P51" s="192">
        <f t="shared" si="33"/>
        <v>0</v>
      </c>
      <c r="Q51" s="192">
        <f t="shared" si="33"/>
        <v>0</v>
      </c>
      <c r="R51" s="192">
        <f t="shared" si="33"/>
        <v>0</v>
      </c>
      <c r="S51" s="192">
        <f t="shared" si="33"/>
        <v>0</v>
      </c>
      <c r="T51" s="192">
        <f t="shared" si="33"/>
        <v>0</v>
      </c>
      <c r="U51" s="192">
        <f t="shared" si="33"/>
        <v>0</v>
      </c>
      <c r="V51" s="192">
        <f t="shared" si="33"/>
        <v>0</v>
      </c>
      <c r="W51" s="192">
        <f t="shared" si="33"/>
        <v>21.43</v>
      </c>
      <c r="X51" s="192">
        <f t="shared" si="33"/>
        <v>23.95</v>
      </c>
      <c r="Y51" s="192">
        <f t="shared" si="33"/>
        <v>28.68</v>
      </c>
      <c r="Z51" s="192">
        <f t="shared" si="33"/>
        <v>28.38</v>
      </c>
      <c r="AA51" s="192">
        <f t="shared" si="33"/>
        <v>12.73</v>
      </c>
      <c r="AB51" s="192">
        <f t="shared" si="33"/>
        <v>0</v>
      </c>
      <c r="AC51" s="192">
        <f t="shared" si="33"/>
        <v>0</v>
      </c>
      <c r="AD51" s="192">
        <f t="shared" si="33"/>
        <v>0</v>
      </c>
      <c r="AE51" s="192">
        <f t="shared" si="33"/>
        <v>0</v>
      </c>
      <c r="AF51" s="192">
        <f t="shared" si="33"/>
        <v>0</v>
      </c>
      <c r="AG51" s="192">
        <f t="shared" si="33"/>
        <v>0</v>
      </c>
      <c r="AH51" s="192">
        <f t="shared" si="33"/>
        <v>0</v>
      </c>
      <c r="AI51" s="192">
        <f t="shared" si="33"/>
        <v>0</v>
      </c>
      <c r="AJ51" s="193">
        <f t="shared" si="33"/>
        <v>0</v>
      </c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</row>
    <row r="52" spans="1:56" ht="14.4" x14ac:dyDescent="0.25">
      <c r="A52" s="99" t="s">
        <v>259</v>
      </c>
      <c r="B52" s="94" t="s">
        <v>258</v>
      </c>
      <c r="C52" s="127">
        <f t="shared" ref="C52:D52" si="34">+C28+C16+C4</f>
        <v>7200</v>
      </c>
      <c r="D52" s="135">
        <f t="shared" si="34"/>
        <v>240</v>
      </c>
      <c r="E52" s="140">
        <f t="shared" ref="E52:AJ52" si="35">+E4+E16+E28+E40</f>
        <v>115</v>
      </c>
      <c r="F52" s="128">
        <f t="shared" si="35"/>
        <v>0</v>
      </c>
      <c r="G52" s="128">
        <f t="shared" si="35"/>
        <v>0</v>
      </c>
      <c r="H52" s="128">
        <f t="shared" si="35"/>
        <v>0</v>
      </c>
      <c r="I52" s="128">
        <f t="shared" si="35"/>
        <v>0</v>
      </c>
      <c r="J52" s="128">
        <f t="shared" si="35"/>
        <v>0</v>
      </c>
      <c r="K52" s="128">
        <f t="shared" si="35"/>
        <v>0</v>
      </c>
      <c r="L52" s="128">
        <f t="shared" si="35"/>
        <v>0</v>
      </c>
      <c r="M52" s="128">
        <f t="shared" si="35"/>
        <v>0</v>
      </c>
      <c r="N52" s="128">
        <f t="shared" si="35"/>
        <v>0</v>
      </c>
      <c r="O52" s="128">
        <f t="shared" si="35"/>
        <v>0</v>
      </c>
      <c r="P52" s="128">
        <f t="shared" si="35"/>
        <v>0</v>
      </c>
      <c r="Q52" s="128">
        <f t="shared" si="35"/>
        <v>0</v>
      </c>
      <c r="R52" s="128">
        <f t="shared" si="35"/>
        <v>0</v>
      </c>
      <c r="S52" s="128">
        <f t="shared" si="35"/>
        <v>0</v>
      </c>
      <c r="T52" s="128">
        <f t="shared" si="35"/>
        <v>0</v>
      </c>
      <c r="U52" s="128">
        <f t="shared" si="35"/>
        <v>0</v>
      </c>
      <c r="V52" s="128">
        <f t="shared" si="35"/>
        <v>0</v>
      </c>
      <c r="W52" s="128">
        <f t="shared" si="35"/>
        <v>23</v>
      </c>
      <c r="X52" s="128">
        <f t="shared" si="35"/>
        <v>30</v>
      </c>
      <c r="Y52" s="128">
        <f t="shared" si="35"/>
        <v>27</v>
      </c>
      <c r="Z52" s="128">
        <f t="shared" si="35"/>
        <v>22</v>
      </c>
      <c r="AA52" s="128">
        <f t="shared" si="35"/>
        <v>13</v>
      </c>
      <c r="AB52" s="128">
        <f t="shared" si="35"/>
        <v>0</v>
      </c>
      <c r="AC52" s="128">
        <f t="shared" si="35"/>
        <v>0</v>
      </c>
      <c r="AD52" s="128">
        <f t="shared" si="35"/>
        <v>0</v>
      </c>
      <c r="AE52" s="128">
        <f t="shared" si="35"/>
        <v>0</v>
      </c>
      <c r="AF52" s="128">
        <f t="shared" si="35"/>
        <v>0</v>
      </c>
      <c r="AG52" s="128">
        <f t="shared" si="35"/>
        <v>0</v>
      </c>
      <c r="AH52" s="128">
        <f t="shared" si="35"/>
        <v>0</v>
      </c>
      <c r="AI52" s="128">
        <f t="shared" si="35"/>
        <v>0</v>
      </c>
      <c r="AJ52" s="143">
        <f t="shared" si="35"/>
        <v>0</v>
      </c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</row>
    <row r="53" spans="1:56" ht="14.4" x14ac:dyDescent="0.25">
      <c r="A53" s="99" t="s">
        <v>260</v>
      </c>
      <c r="B53" s="94" t="s">
        <v>258</v>
      </c>
      <c r="C53" s="96">
        <f t="shared" ref="C53:AJ53" si="36">+C51/C52</f>
        <v>1</v>
      </c>
      <c r="D53" s="96">
        <f t="shared" si="36"/>
        <v>1</v>
      </c>
      <c r="E53" s="96">
        <f t="shared" si="36"/>
        <v>1.0014782608695652</v>
      </c>
      <c r="F53" s="104" t="e">
        <f t="shared" si="36"/>
        <v>#DIV/0!</v>
      </c>
      <c r="G53" s="104" t="e">
        <f t="shared" si="36"/>
        <v>#DIV/0!</v>
      </c>
      <c r="H53" s="104" t="e">
        <f t="shared" si="36"/>
        <v>#DIV/0!</v>
      </c>
      <c r="I53" s="104" t="e">
        <f t="shared" si="36"/>
        <v>#DIV/0!</v>
      </c>
      <c r="J53" s="104" t="e">
        <f t="shared" si="36"/>
        <v>#DIV/0!</v>
      </c>
      <c r="K53" s="104" t="e">
        <f t="shared" si="36"/>
        <v>#DIV/0!</v>
      </c>
      <c r="L53" s="104" t="e">
        <f t="shared" si="36"/>
        <v>#DIV/0!</v>
      </c>
      <c r="M53" s="104" t="e">
        <f t="shared" si="36"/>
        <v>#DIV/0!</v>
      </c>
      <c r="N53" s="104" t="e">
        <f t="shared" si="36"/>
        <v>#DIV/0!</v>
      </c>
      <c r="O53" s="104" t="e">
        <f t="shared" si="36"/>
        <v>#DIV/0!</v>
      </c>
      <c r="P53" s="104" t="e">
        <f t="shared" si="36"/>
        <v>#DIV/0!</v>
      </c>
      <c r="Q53" s="104" t="e">
        <f t="shared" si="36"/>
        <v>#DIV/0!</v>
      </c>
      <c r="R53" s="104" t="e">
        <f t="shared" si="36"/>
        <v>#DIV/0!</v>
      </c>
      <c r="S53" s="104" t="e">
        <f t="shared" si="36"/>
        <v>#DIV/0!</v>
      </c>
      <c r="T53" s="104" t="e">
        <f t="shared" si="36"/>
        <v>#DIV/0!</v>
      </c>
      <c r="U53" s="104" t="e">
        <f t="shared" si="36"/>
        <v>#DIV/0!</v>
      </c>
      <c r="V53" s="104" t="e">
        <f t="shared" si="36"/>
        <v>#DIV/0!</v>
      </c>
      <c r="W53" s="104">
        <f t="shared" si="36"/>
        <v>0.93173913043478263</v>
      </c>
      <c r="X53" s="104">
        <f t="shared" si="36"/>
        <v>0.79833333333333334</v>
      </c>
      <c r="Y53" s="104">
        <f t="shared" si="36"/>
        <v>1.0622222222222222</v>
      </c>
      <c r="Z53" s="104">
        <f t="shared" si="36"/>
        <v>1.29</v>
      </c>
      <c r="AA53" s="104">
        <f t="shared" si="36"/>
        <v>0.97923076923076924</v>
      </c>
      <c r="AB53" s="104" t="e">
        <f t="shared" si="36"/>
        <v>#DIV/0!</v>
      </c>
      <c r="AC53" s="104" t="e">
        <f t="shared" si="36"/>
        <v>#DIV/0!</v>
      </c>
      <c r="AD53" s="104" t="e">
        <f t="shared" si="36"/>
        <v>#DIV/0!</v>
      </c>
      <c r="AE53" s="104" t="e">
        <f t="shared" si="36"/>
        <v>#DIV/0!</v>
      </c>
      <c r="AF53" s="104" t="e">
        <f t="shared" si="36"/>
        <v>#DIV/0!</v>
      </c>
      <c r="AG53" s="104" t="e">
        <f t="shared" si="36"/>
        <v>#DIV/0!</v>
      </c>
      <c r="AH53" s="104" t="e">
        <f t="shared" si="36"/>
        <v>#DIV/0!</v>
      </c>
      <c r="AI53" s="104" t="e">
        <f t="shared" si="36"/>
        <v>#DIV/0!</v>
      </c>
      <c r="AJ53" s="105" t="e">
        <f t="shared" si="36"/>
        <v>#DIV/0!</v>
      </c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</row>
    <row r="54" spans="1:56" ht="14.4" x14ac:dyDescent="0.25">
      <c r="A54" s="106" t="s">
        <v>261</v>
      </c>
      <c r="B54" s="107" t="s">
        <v>258</v>
      </c>
      <c r="C54" s="108">
        <f t="shared" ref="C54:D54" si="37">+C30+C18+C6</f>
        <v>4320</v>
      </c>
      <c r="D54" s="132">
        <f t="shared" si="37"/>
        <v>144</v>
      </c>
      <c r="E54" s="188">
        <f t="shared" ref="E54:AJ54" si="38">+E6+E18+E30+E42</f>
        <v>5</v>
      </c>
      <c r="F54" s="133">
        <f t="shared" si="38"/>
        <v>0</v>
      </c>
      <c r="G54" s="133">
        <f t="shared" si="38"/>
        <v>0</v>
      </c>
      <c r="H54" s="133">
        <f t="shared" si="38"/>
        <v>0</v>
      </c>
      <c r="I54" s="133">
        <f t="shared" si="38"/>
        <v>0</v>
      </c>
      <c r="J54" s="133">
        <f t="shared" si="38"/>
        <v>0</v>
      </c>
      <c r="K54" s="133">
        <f t="shared" si="38"/>
        <v>0</v>
      </c>
      <c r="L54" s="133">
        <f t="shared" si="38"/>
        <v>0</v>
      </c>
      <c r="M54" s="133">
        <f t="shared" si="38"/>
        <v>0</v>
      </c>
      <c r="N54" s="133">
        <f t="shared" si="38"/>
        <v>0</v>
      </c>
      <c r="O54" s="133">
        <f t="shared" si="38"/>
        <v>0</v>
      </c>
      <c r="P54" s="133">
        <f t="shared" si="38"/>
        <v>0</v>
      </c>
      <c r="Q54" s="133">
        <f t="shared" si="38"/>
        <v>0</v>
      </c>
      <c r="R54" s="133">
        <f t="shared" si="38"/>
        <v>0</v>
      </c>
      <c r="S54" s="133">
        <f t="shared" si="38"/>
        <v>0</v>
      </c>
      <c r="T54" s="133">
        <f t="shared" si="38"/>
        <v>0</v>
      </c>
      <c r="U54" s="133">
        <f t="shared" si="38"/>
        <v>0</v>
      </c>
      <c r="V54" s="133">
        <f t="shared" si="38"/>
        <v>0</v>
      </c>
      <c r="W54" s="133">
        <f t="shared" si="38"/>
        <v>3</v>
      </c>
      <c r="X54" s="133">
        <f t="shared" si="38"/>
        <v>2</v>
      </c>
      <c r="Y54" s="133">
        <f t="shared" si="38"/>
        <v>0</v>
      </c>
      <c r="Z54" s="133">
        <f t="shared" si="38"/>
        <v>0</v>
      </c>
      <c r="AA54" s="133">
        <f t="shared" si="38"/>
        <v>0</v>
      </c>
      <c r="AB54" s="133">
        <f t="shared" si="38"/>
        <v>0</v>
      </c>
      <c r="AC54" s="133">
        <f t="shared" si="38"/>
        <v>0</v>
      </c>
      <c r="AD54" s="133">
        <f t="shared" si="38"/>
        <v>0</v>
      </c>
      <c r="AE54" s="133">
        <f t="shared" si="38"/>
        <v>0</v>
      </c>
      <c r="AF54" s="133">
        <f t="shared" si="38"/>
        <v>0</v>
      </c>
      <c r="AG54" s="133">
        <f t="shared" si="38"/>
        <v>0</v>
      </c>
      <c r="AH54" s="133">
        <f t="shared" si="38"/>
        <v>0</v>
      </c>
      <c r="AI54" s="133">
        <f t="shared" si="38"/>
        <v>0</v>
      </c>
      <c r="AJ54" s="194">
        <f t="shared" si="38"/>
        <v>0</v>
      </c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</row>
    <row r="55" spans="1:56" ht="14.4" x14ac:dyDescent="0.25">
      <c r="A55" s="99" t="s">
        <v>262</v>
      </c>
      <c r="B55" s="94" t="s">
        <v>258</v>
      </c>
      <c r="C55" s="111">
        <f t="shared" ref="C55:AJ55" si="39">+C54/C52</f>
        <v>0.6</v>
      </c>
      <c r="D55" s="111">
        <f t="shared" si="39"/>
        <v>0.6</v>
      </c>
      <c r="E55" s="113">
        <f t="shared" si="39"/>
        <v>4.3478260869565216E-2</v>
      </c>
      <c r="F55" s="114" t="e">
        <f t="shared" si="39"/>
        <v>#DIV/0!</v>
      </c>
      <c r="G55" s="114" t="e">
        <f t="shared" si="39"/>
        <v>#DIV/0!</v>
      </c>
      <c r="H55" s="114" t="e">
        <f t="shared" si="39"/>
        <v>#DIV/0!</v>
      </c>
      <c r="I55" s="114" t="e">
        <f t="shared" si="39"/>
        <v>#DIV/0!</v>
      </c>
      <c r="J55" s="114" t="e">
        <f t="shared" si="39"/>
        <v>#DIV/0!</v>
      </c>
      <c r="K55" s="114" t="e">
        <f t="shared" si="39"/>
        <v>#DIV/0!</v>
      </c>
      <c r="L55" s="114" t="e">
        <f t="shared" si="39"/>
        <v>#DIV/0!</v>
      </c>
      <c r="M55" s="114" t="e">
        <f t="shared" si="39"/>
        <v>#DIV/0!</v>
      </c>
      <c r="N55" s="114" t="e">
        <f t="shared" si="39"/>
        <v>#DIV/0!</v>
      </c>
      <c r="O55" s="114" t="e">
        <f t="shared" si="39"/>
        <v>#DIV/0!</v>
      </c>
      <c r="P55" s="114" t="e">
        <f t="shared" si="39"/>
        <v>#DIV/0!</v>
      </c>
      <c r="Q55" s="114" t="e">
        <f t="shared" si="39"/>
        <v>#DIV/0!</v>
      </c>
      <c r="R55" s="114" t="e">
        <f t="shared" si="39"/>
        <v>#DIV/0!</v>
      </c>
      <c r="S55" s="114" t="e">
        <f t="shared" si="39"/>
        <v>#DIV/0!</v>
      </c>
      <c r="T55" s="114" t="e">
        <f t="shared" si="39"/>
        <v>#DIV/0!</v>
      </c>
      <c r="U55" s="114" t="e">
        <f t="shared" si="39"/>
        <v>#DIV/0!</v>
      </c>
      <c r="V55" s="114" t="e">
        <f t="shared" si="39"/>
        <v>#DIV/0!</v>
      </c>
      <c r="W55" s="114">
        <f t="shared" si="39"/>
        <v>0.13043478260869565</v>
      </c>
      <c r="X55" s="114">
        <f t="shared" si="39"/>
        <v>6.6666666666666666E-2</v>
      </c>
      <c r="Y55" s="114">
        <f t="shared" si="39"/>
        <v>0</v>
      </c>
      <c r="Z55" s="114">
        <f t="shared" si="39"/>
        <v>0</v>
      </c>
      <c r="AA55" s="114">
        <f t="shared" si="39"/>
        <v>0</v>
      </c>
      <c r="AB55" s="114" t="e">
        <f t="shared" si="39"/>
        <v>#DIV/0!</v>
      </c>
      <c r="AC55" s="114" t="e">
        <f t="shared" si="39"/>
        <v>#DIV/0!</v>
      </c>
      <c r="AD55" s="114" t="e">
        <f t="shared" si="39"/>
        <v>#DIV/0!</v>
      </c>
      <c r="AE55" s="114" t="e">
        <f t="shared" si="39"/>
        <v>#DIV/0!</v>
      </c>
      <c r="AF55" s="114" t="e">
        <f t="shared" si="39"/>
        <v>#DIV/0!</v>
      </c>
      <c r="AG55" s="114" t="e">
        <f t="shared" si="39"/>
        <v>#DIV/0!</v>
      </c>
      <c r="AH55" s="114" t="e">
        <f t="shared" si="39"/>
        <v>#DIV/0!</v>
      </c>
      <c r="AI55" s="114" t="e">
        <f t="shared" si="39"/>
        <v>#DIV/0!</v>
      </c>
      <c r="AJ55" s="115" t="e">
        <f t="shared" si="39"/>
        <v>#DIV/0!</v>
      </c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</row>
    <row r="56" spans="1:56" ht="14.4" x14ac:dyDescent="0.25">
      <c r="A56" s="99" t="s">
        <v>263</v>
      </c>
      <c r="B56" s="94" t="s">
        <v>258</v>
      </c>
      <c r="C56" s="112"/>
      <c r="D56" s="112"/>
      <c r="E56" s="140">
        <f>SUM(F56:AJ56)</f>
        <v>18</v>
      </c>
      <c r="F56" s="128">
        <f t="shared" ref="F56:AJ56" si="40">+F8+F20+F32+F44</f>
        <v>0</v>
      </c>
      <c r="G56" s="128">
        <f t="shared" si="40"/>
        <v>0</v>
      </c>
      <c r="H56" s="128">
        <f t="shared" si="40"/>
        <v>0</v>
      </c>
      <c r="I56" s="128">
        <f t="shared" si="40"/>
        <v>0</v>
      </c>
      <c r="J56" s="128">
        <f t="shared" si="40"/>
        <v>0</v>
      </c>
      <c r="K56" s="128">
        <f t="shared" si="40"/>
        <v>0</v>
      </c>
      <c r="L56" s="128">
        <f t="shared" si="40"/>
        <v>0</v>
      </c>
      <c r="M56" s="128">
        <f t="shared" si="40"/>
        <v>0</v>
      </c>
      <c r="N56" s="128">
        <f t="shared" si="40"/>
        <v>0</v>
      </c>
      <c r="O56" s="128">
        <f t="shared" si="40"/>
        <v>0</v>
      </c>
      <c r="P56" s="128">
        <f t="shared" si="40"/>
        <v>0</v>
      </c>
      <c r="Q56" s="128">
        <f t="shared" si="40"/>
        <v>0</v>
      </c>
      <c r="R56" s="128">
        <f t="shared" si="40"/>
        <v>0</v>
      </c>
      <c r="S56" s="128">
        <f t="shared" si="40"/>
        <v>0</v>
      </c>
      <c r="T56" s="128">
        <f t="shared" si="40"/>
        <v>0</v>
      </c>
      <c r="U56" s="128">
        <f t="shared" si="40"/>
        <v>0</v>
      </c>
      <c r="V56" s="128">
        <f t="shared" si="40"/>
        <v>0</v>
      </c>
      <c r="W56" s="128">
        <f t="shared" si="40"/>
        <v>8</v>
      </c>
      <c r="X56" s="128">
        <f t="shared" si="40"/>
        <v>10</v>
      </c>
      <c r="Y56" s="128">
        <f t="shared" si="40"/>
        <v>0</v>
      </c>
      <c r="Z56" s="128">
        <f t="shared" si="40"/>
        <v>0</v>
      </c>
      <c r="AA56" s="128">
        <f t="shared" si="40"/>
        <v>0</v>
      </c>
      <c r="AB56" s="128">
        <f t="shared" si="40"/>
        <v>0</v>
      </c>
      <c r="AC56" s="128">
        <f t="shared" si="40"/>
        <v>0</v>
      </c>
      <c r="AD56" s="128">
        <f t="shared" si="40"/>
        <v>0</v>
      </c>
      <c r="AE56" s="128">
        <f t="shared" si="40"/>
        <v>0</v>
      </c>
      <c r="AF56" s="128">
        <f t="shared" si="40"/>
        <v>0</v>
      </c>
      <c r="AG56" s="128">
        <f t="shared" si="40"/>
        <v>0</v>
      </c>
      <c r="AH56" s="128">
        <f t="shared" si="40"/>
        <v>0</v>
      </c>
      <c r="AI56" s="128">
        <f t="shared" si="40"/>
        <v>0</v>
      </c>
      <c r="AJ56" s="143">
        <f t="shared" si="40"/>
        <v>0</v>
      </c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</row>
    <row r="57" spans="1:56" ht="14.4" x14ac:dyDescent="0.25">
      <c r="A57" s="99" t="s">
        <v>264</v>
      </c>
      <c r="B57" s="94" t="s">
        <v>258</v>
      </c>
      <c r="C57" s="112"/>
      <c r="D57" s="112"/>
      <c r="E57" s="113">
        <f t="shared" ref="E57:AJ57" si="41">E56/E52</f>
        <v>0.15652173913043479</v>
      </c>
      <c r="F57" s="114" t="e">
        <f t="shared" si="41"/>
        <v>#DIV/0!</v>
      </c>
      <c r="G57" s="114" t="e">
        <f t="shared" si="41"/>
        <v>#DIV/0!</v>
      </c>
      <c r="H57" s="114" t="e">
        <f t="shared" si="41"/>
        <v>#DIV/0!</v>
      </c>
      <c r="I57" s="114" t="e">
        <f t="shared" si="41"/>
        <v>#DIV/0!</v>
      </c>
      <c r="J57" s="114" t="e">
        <f t="shared" si="41"/>
        <v>#DIV/0!</v>
      </c>
      <c r="K57" s="114" t="e">
        <f t="shared" si="41"/>
        <v>#DIV/0!</v>
      </c>
      <c r="L57" s="114" t="e">
        <f t="shared" si="41"/>
        <v>#DIV/0!</v>
      </c>
      <c r="M57" s="114" t="e">
        <f t="shared" si="41"/>
        <v>#DIV/0!</v>
      </c>
      <c r="N57" s="114" t="e">
        <f t="shared" si="41"/>
        <v>#DIV/0!</v>
      </c>
      <c r="O57" s="114" t="e">
        <f t="shared" si="41"/>
        <v>#DIV/0!</v>
      </c>
      <c r="P57" s="114" t="e">
        <f t="shared" si="41"/>
        <v>#DIV/0!</v>
      </c>
      <c r="Q57" s="114" t="e">
        <f t="shared" si="41"/>
        <v>#DIV/0!</v>
      </c>
      <c r="R57" s="114" t="e">
        <f t="shared" si="41"/>
        <v>#DIV/0!</v>
      </c>
      <c r="S57" s="114" t="e">
        <f t="shared" si="41"/>
        <v>#DIV/0!</v>
      </c>
      <c r="T57" s="114" t="e">
        <f t="shared" si="41"/>
        <v>#DIV/0!</v>
      </c>
      <c r="U57" s="114" t="e">
        <f t="shared" si="41"/>
        <v>#DIV/0!</v>
      </c>
      <c r="V57" s="114" t="e">
        <f t="shared" si="41"/>
        <v>#DIV/0!</v>
      </c>
      <c r="W57" s="114">
        <f t="shared" si="41"/>
        <v>0.34782608695652173</v>
      </c>
      <c r="X57" s="114">
        <f t="shared" si="41"/>
        <v>0.33333333333333331</v>
      </c>
      <c r="Y57" s="114">
        <f t="shared" si="41"/>
        <v>0</v>
      </c>
      <c r="Z57" s="114">
        <f t="shared" si="41"/>
        <v>0</v>
      </c>
      <c r="AA57" s="114">
        <f t="shared" si="41"/>
        <v>0</v>
      </c>
      <c r="AB57" s="114" t="e">
        <f t="shared" si="41"/>
        <v>#DIV/0!</v>
      </c>
      <c r="AC57" s="114" t="e">
        <f t="shared" si="41"/>
        <v>#DIV/0!</v>
      </c>
      <c r="AD57" s="114" t="e">
        <f t="shared" si="41"/>
        <v>#DIV/0!</v>
      </c>
      <c r="AE57" s="114" t="e">
        <f t="shared" si="41"/>
        <v>#DIV/0!</v>
      </c>
      <c r="AF57" s="114" t="e">
        <f t="shared" si="41"/>
        <v>#DIV/0!</v>
      </c>
      <c r="AG57" s="114" t="e">
        <f t="shared" si="41"/>
        <v>#DIV/0!</v>
      </c>
      <c r="AH57" s="114" t="e">
        <f t="shared" si="41"/>
        <v>#DIV/0!</v>
      </c>
      <c r="AI57" s="114" t="e">
        <f t="shared" si="41"/>
        <v>#DIV/0!</v>
      </c>
      <c r="AJ57" s="115" t="e">
        <f t="shared" si="41"/>
        <v>#DIV/0!</v>
      </c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</row>
    <row r="58" spans="1:56" ht="14.4" x14ac:dyDescent="0.25">
      <c r="A58" s="116" t="s">
        <v>265</v>
      </c>
      <c r="B58" s="144" t="s">
        <v>258</v>
      </c>
      <c r="C58" s="145"/>
      <c r="D58" s="145"/>
      <c r="E58" s="189">
        <f>SUM(F58:AJ58)</f>
        <v>30</v>
      </c>
      <c r="F58" s="136">
        <f t="shared" ref="F58:AJ58" si="42">+F10+F22+F34+F46</f>
        <v>0</v>
      </c>
      <c r="G58" s="136">
        <f t="shared" si="42"/>
        <v>0</v>
      </c>
      <c r="H58" s="136">
        <f t="shared" si="42"/>
        <v>0</v>
      </c>
      <c r="I58" s="136">
        <f t="shared" si="42"/>
        <v>0</v>
      </c>
      <c r="J58" s="136">
        <f t="shared" si="42"/>
        <v>0</v>
      </c>
      <c r="K58" s="136">
        <f t="shared" si="42"/>
        <v>0</v>
      </c>
      <c r="L58" s="136">
        <f t="shared" si="42"/>
        <v>0</v>
      </c>
      <c r="M58" s="136">
        <f t="shared" si="42"/>
        <v>0</v>
      </c>
      <c r="N58" s="136">
        <f t="shared" si="42"/>
        <v>0</v>
      </c>
      <c r="O58" s="136">
        <f t="shared" si="42"/>
        <v>0</v>
      </c>
      <c r="P58" s="136">
        <f t="shared" si="42"/>
        <v>0</v>
      </c>
      <c r="Q58" s="136">
        <f t="shared" si="42"/>
        <v>0</v>
      </c>
      <c r="R58" s="136">
        <f t="shared" si="42"/>
        <v>0</v>
      </c>
      <c r="S58" s="136">
        <f t="shared" si="42"/>
        <v>0</v>
      </c>
      <c r="T58" s="136">
        <f t="shared" si="42"/>
        <v>0</v>
      </c>
      <c r="U58" s="136">
        <f t="shared" si="42"/>
        <v>0</v>
      </c>
      <c r="V58" s="136">
        <f t="shared" si="42"/>
        <v>0</v>
      </c>
      <c r="W58" s="136">
        <f t="shared" si="42"/>
        <v>12</v>
      </c>
      <c r="X58" s="136">
        <f t="shared" si="42"/>
        <v>18</v>
      </c>
      <c r="Y58" s="136">
        <f t="shared" si="42"/>
        <v>0</v>
      </c>
      <c r="Z58" s="136">
        <f t="shared" si="42"/>
        <v>0</v>
      </c>
      <c r="AA58" s="136">
        <f t="shared" si="42"/>
        <v>0</v>
      </c>
      <c r="AB58" s="136">
        <f t="shared" si="42"/>
        <v>0</v>
      </c>
      <c r="AC58" s="136">
        <f t="shared" si="42"/>
        <v>0</v>
      </c>
      <c r="AD58" s="136">
        <f t="shared" si="42"/>
        <v>0</v>
      </c>
      <c r="AE58" s="136">
        <f t="shared" si="42"/>
        <v>0</v>
      </c>
      <c r="AF58" s="136">
        <f t="shared" si="42"/>
        <v>0</v>
      </c>
      <c r="AG58" s="136">
        <f t="shared" si="42"/>
        <v>0</v>
      </c>
      <c r="AH58" s="136">
        <f t="shared" si="42"/>
        <v>0</v>
      </c>
      <c r="AI58" s="136">
        <f t="shared" si="42"/>
        <v>0</v>
      </c>
      <c r="AJ58" s="195">
        <f t="shared" si="42"/>
        <v>0</v>
      </c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</row>
    <row r="59" spans="1:56" ht="14.4" x14ac:dyDescent="0.25">
      <c r="A59" s="99" t="s">
        <v>266</v>
      </c>
      <c r="B59" s="94" t="s">
        <v>258</v>
      </c>
      <c r="C59" s="112"/>
      <c r="D59" s="112"/>
      <c r="E59" s="113">
        <f t="shared" ref="E59:AJ59" si="43">E58/E52</f>
        <v>0.2608695652173913</v>
      </c>
      <c r="F59" s="114" t="e">
        <f t="shared" si="43"/>
        <v>#DIV/0!</v>
      </c>
      <c r="G59" s="114" t="e">
        <f t="shared" si="43"/>
        <v>#DIV/0!</v>
      </c>
      <c r="H59" s="114" t="e">
        <f t="shared" si="43"/>
        <v>#DIV/0!</v>
      </c>
      <c r="I59" s="114" t="e">
        <f t="shared" si="43"/>
        <v>#DIV/0!</v>
      </c>
      <c r="J59" s="114" t="e">
        <f t="shared" si="43"/>
        <v>#DIV/0!</v>
      </c>
      <c r="K59" s="114" t="e">
        <f t="shared" si="43"/>
        <v>#DIV/0!</v>
      </c>
      <c r="L59" s="114" t="e">
        <f t="shared" si="43"/>
        <v>#DIV/0!</v>
      </c>
      <c r="M59" s="114" t="e">
        <f t="shared" si="43"/>
        <v>#DIV/0!</v>
      </c>
      <c r="N59" s="114" t="e">
        <f t="shared" si="43"/>
        <v>#DIV/0!</v>
      </c>
      <c r="O59" s="114" t="e">
        <f t="shared" si="43"/>
        <v>#DIV/0!</v>
      </c>
      <c r="P59" s="114" t="e">
        <f t="shared" si="43"/>
        <v>#DIV/0!</v>
      </c>
      <c r="Q59" s="114" t="e">
        <f t="shared" si="43"/>
        <v>#DIV/0!</v>
      </c>
      <c r="R59" s="114" t="e">
        <f t="shared" si="43"/>
        <v>#DIV/0!</v>
      </c>
      <c r="S59" s="114" t="e">
        <f t="shared" si="43"/>
        <v>#DIV/0!</v>
      </c>
      <c r="T59" s="114" t="e">
        <f t="shared" si="43"/>
        <v>#DIV/0!</v>
      </c>
      <c r="U59" s="114" t="e">
        <f t="shared" si="43"/>
        <v>#DIV/0!</v>
      </c>
      <c r="V59" s="114" t="e">
        <f t="shared" si="43"/>
        <v>#DIV/0!</v>
      </c>
      <c r="W59" s="114">
        <f t="shared" si="43"/>
        <v>0.52173913043478259</v>
      </c>
      <c r="X59" s="114">
        <f t="shared" si="43"/>
        <v>0.6</v>
      </c>
      <c r="Y59" s="114">
        <f t="shared" si="43"/>
        <v>0</v>
      </c>
      <c r="Z59" s="114">
        <f t="shared" si="43"/>
        <v>0</v>
      </c>
      <c r="AA59" s="114">
        <f t="shared" si="43"/>
        <v>0</v>
      </c>
      <c r="AB59" s="114" t="e">
        <f t="shared" si="43"/>
        <v>#DIV/0!</v>
      </c>
      <c r="AC59" s="114" t="e">
        <f t="shared" si="43"/>
        <v>#DIV/0!</v>
      </c>
      <c r="AD59" s="114" t="e">
        <f t="shared" si="43"/>
        <v>#DIV/0!</v>
      </c>
      <c r="AE59" s="114" t="e">
        <f t="shared" si="43"/>
        <v>#DIV/0!</v>
      </c>
      <c r="AF59" s="114" t="e">
        <f t="shared" si="43"/>
        <v>#DIV/0!</v>
      </c>
      <c r="AG59" s="114" t="e">
        <f t="shared" si="43"/>
        <v>#DIV/0!</v>
      </c>
      <c r="AH59" s="114" t="e">
        <f t="shared" si="43"/>
        <v>#DIV/0!</v>
      </c>
      <c r="AI59" s="114" t="e">
        <f t="shared" si="43"/>
        <v>#DIV/0!</v>
      </c>
      <c r="AJ59" s="115" t="e">
        <f t="shared" si="43"/>
        <v>#DIV/0!</v>
      </c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</row>
    <row r="60" spans="1:56" ht="14.4" x14ac:dyDescent="0.25">
      <c r="A60" s="196" t="s">
        <v>267</v>
      </c>
      <c r="B60" s="197" t="s">
        <v>258</v>
      </c>
      <c r="C60" s="147">
        <f t="shared" ref="C60:AJ60" si="44">+C51/C54</f>
        <v>1.6666666666666667</v>
      </c>
      <c r="D60" s="147">
        <f t="shared" si="44"/>
        <v>1.6666666666666667</v>
      </c>
      <c r="E60" s="147">
        <f t="shared" si="44"/>
        <v>23.033999999999999</v>
      </c>
      <c r="F60" s="198" t="e">
        <f t="shared" si="44"/>
        <v>#DIV/0!</v>
      </c>
      <c r="G60" s="198" t="e">
        <f t="shared" si="44"/>
        <v>#DIV/0!</v>
      </c>
      <c r="H60" s="198" t="e">
        <f t="shared" si="44"/>
        <v>#DIV/0!</v>
      </c>
      <c r="I60" s="198" t="e">
        <f t="shared" si="44"/>
        <v>#DIV/0!</v>
      </c>
      <c r="J60" s="198" t="e">
        <f t="shared" si="44"/>
        <v>#DIV/0!</v>
      </c>
      <c r="K60" s="198" t="e">
        <f t="shared" si="44"/>
        <v>#DIV/0!</v>
      </c>
      <c r="L60" s="198" t="e">
        <f t="shared" si="44"/>
        <v>#DIV/0!</v>
      </c>
      <c r="M60" s="198" t="e">
        <f t="shared" si="44"/>
        <v>#DIV/0!</v>
      </c>
      <c r="N60" s="198" t="e">
        <f t="shared" si="44"/>
        <v>#DIV/0!</v>
      </c>
      <c r="O60" s="198" t="e">
        <f t="shared" si="44"/>
        <v>#DIV/0!</v>
      </c>
      <c r="P60" s="198" t="e">
        <f t="shared" si="44"/>
        <v>#DIV/0!</v>
      </c>
      <c r="Q60" s="198" t="e">
        <f t="shared" si="44"/>
        <v>#DIV/0!</v>
      </c>
      <c r="R60" s="198" t="e">
        <f t="shared" si="44"/>
        <v>#DIV/0!</v>
      </c>
      <c r="S60" s="198" t="e">
        <f t="shared" si="44"/>
        <v>#DIV/0!</v>
      </c>
      <c r="T60" s="198" t="e">
        <f t="shared" si="44"/>
        <v>#DIV/0!</v>
      </c>
      <c r="U60" s="198" t="e">
        <f t="shared" si="44"/>
        <v>#DIV/0!</v>
      </c>
      <c r="V60" s="198" t="e">
        <f t="shared" si="44"/>
        <v>#DIV/0!</v>
      </c>
      <c r="W60" s="198">
        <f t="shared" si="44"/>
        <v>7.1433333333333335</v>
      </c>
      <c r="X60" s="198">
        <f t="shared" si="44"/>
        <v>11.975</v>
      </c>
      <c r="Y60" s="198" t="e">
        <f t="shared" si="44"/>
        <v>#DIV/0!</v>
      </c>
      <c r="Z60" s="198" t="e">
        <f t="shared" si="44"/>
        <v>#DIV/0!</v>
      </c>
      <c r="AA60" s="198" t="e">
        <f t="shared" si="44"/>
        <v>#DIV/0!</v>
      </c>
      <c r="AB60" s="198" t="e">
        <f t="shared" si="44"/>
        <v>#DIV/0!</v>
      </c>
      <c r="AC60" s="198" t="e">
        <f t="shared" si="44"/>
        <v>#DIV/0!</v>
      </c>
      <c r="AD60" s="198" t="e">
        <f t="shared" si="44"/>
        <v>#DIV/0!</v>
      </c>
      <c r="AE60" s="198" t="e">
        <f t="shared" si="44"/>
        <v>#DIV/0!</v>
      </c>
      <c r="AF60" s="198" t="e">
        <f t="shared" si="44"/>
        <v>#DIV/0!</v>
      </c>
      <c r="AG60" s="198" t="e">
        <f t="shared" si="44"/>
        <v>#DIV/0!</v>
      </c>
      <c r="AH60" s="198" t="e">
        <f t="shared" si="44"/>
        <v>#DIV/0!</v>
      </c>
      <c r="AI60" s="198" t="e">
        <f t="shared" si="44"/>
        <v>#DIV/0!</v>
      </c>
      <c r="AJ60" s="199" t="e">
        <f t="shared" si="44"/>
        <v>#DIV/0!</v>
      </c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</row>
    <row r="61" spans="1:56" ht="12.55" x14ac:dyDescent="0.2">
      <c r="A61" s="88"/>
      <c r="B61" s="88"/>
      <c r="C61" s="88"/>
      <c r="D61" s="88"/>
      <c r="E61" s="88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</row>
    <row r="62" spans="1:56" ht="12.55" x14ac:dyDescent="0.2">
      <c r="A62" s="88"/>
      <c r="B62" s="88"/>
      <c r="C62" s="88"/>
      <c r="D62" s="124"/>
      <c r="E62" s="88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</row>
    <row r="63" spans="1:56" ht="14.4" x14ac:dyDescent="0.25">
      <c r="A63" s="139" t="s">
        <v>271</v>
      </c>
      <c r="B63" s="89"/>
      <c r="C63" s="89"/>
      <c r="D63" s="90"/>
      <c r="E63" s="89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2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</row>
    <row r="64" spans="1:56" ht="14.4" x14ac:dyDescent="0.25">
      <c r="A64" s="99" t="s">
        <v>290</v>
      </c>
      <c r="B64" s="94" t="s">
        <v>128</v>
      </c>
      <c r="C64" s="100">
        <f t="shared" ref="C64:D64" si="45">C52</f>
        <v>7200</v>
      </c>
      <c r="D64" s="135">
        <f t="shared" si="45"/>
        <v>240</v>
      </c>
      <c r="E64" s="100">
        <f t="shared" ref="E64:E65" si="46">SUM(F64:AJ64)</f>
        <v>0</v>
      </c>
      <c r="F64" s="149"/>
      <c r="G64" s="149"/>
      <c r="H64" s="149"/>
      <c r="I64" s="149"/>
      <c r="J64" s="200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50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</row>
    <row r="65" spans="1:56" ht="14.4" x14ac:dyDescent="0.25">
      <c r="A65" s="99" t="s">
        <v>291</v>
      </c>
      <c r="B65" s="94" t="s">
        <v>128</v>
      </c>
      <c r="C65" s="100">
        <f>D65*30</f>
        <v>300</v>
      </c>
      <c r="D65" s="135">
        <v>10</v>
      </c>
      <c r="E65" s="100">
        <f t="shared" si="46"/>
        <v>0</v>
      </c>
      <c r="F65" s="149"/>
      <c r="G65" s="149"/>
      <c r="H65" s="149"/>
      <c r="I65" s="149"/>
      <c r="J65" s="200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50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</row>
    <row r="66" spans="1:56" ht="14.4" x14ac:dyDescent="0.25">
      <c r="A66" s="99" t="s">
        <v>292</v>
      </c>
      <c r="B66" s="94" t="s">
        <v>128</v>
      </c>
      <c r="C66" s="135">
        <f t="shared" ref="C66:D66" si="47">C64+C65</f>
        <v>7500</v>
      </c>
      <c r="D66" s="135">
        <f t="shared" si="47"/>
        <v>250</v>
      </c>
      <c r="E66" s="100">
        <f>E65+E64</f>
        <v>0</v>
      </c>
      <c r="F66" s="149"/>
      <c r="G66" s="149"/>
      <c r="H66" s="149"/>
      <c r="I66" s="149"/>
      <c r="J66" s="149"/>
      <c r="K66" s="149">
        <f t="shared" ref="K66:AJ66" si="48">K65+K64</f>
        <v>0</v>
      </c>
      <c r="L66" s="149">
        <f t="shared" si="48"/>
        <v>0</v>
      </c>
      <c r="M66" s="149">
        <f t="shared" si="48"/>
        <v>0</v>
      </c>
      <c r="N66" s="149">
        <f t="shared" si="48"/>
        <v>0</v>
      </c>
      <c r="O66" s="149">
        <f t="shared" si="48"/>
        <v>0</v>
      </c>
      <c r="P66" s="149">
        <f t="shared" si="48"/>
        <v>0</v>
      </c>
      <c r="Q66" s="149">
        <f t="shared" si="48"/>
        <v>0</v>
      </c>
      <c r="R66" s="149">
        <f t="shared" si="48"/>
        <v>0</v>
      </c>
      <c r="S66" s="149">
        <f t="shared" si="48"/>
        <v>0</v>
      </c>
      <c r="T66" s="149">
        <f t="shared" si="48"/>
        <v>0</v>
      </c>
      <c r="U66" s="149">
        <f t="shared" si="48"/>
        <v>0</v>
      </c>
      <c r="V66" s="149">
        <f t="shared" si="48"/>
        <v>0</v>
      </c>
      <c r="W66" s="149">
        <f t="shared" si="48"/>
        <v>0</v>
      </c>
      <c r="X66" s="149">
        <f t="shared" si="48"/>
        <v>0</v>
      </c>
      <c r="Y66" s="149">
        <f t="shared" si="48"/>
        <v>0</v>
      </c>
      <c r="Z66" s="149">
        <f t="shared" si="48"/>
        <v>0</v>
      </c>
      <c r="AA66" s="149">
        <f t="shared" si="48"/>
        <v>0</v>
      </c>
      <c r="AB66" s="149">
        <f t="shared" si="48"/>
        <v>0</v>
      </c>
      <c r="AC66" s="149">
        <f t="shared" si="48"/>
        <v>0</v>
      </c>
      <c r="AD66" s="149">
        <f t="shared" si="48"/>
        <v>0</v>
      </c>
      <c r="AE66" s="149">
        <f t="shared" si="48"/>
        <v>0</v>
      </c>
      <c r="AF66" s="149">
        <f t="shared" si="48"/>
        <v>0</v>
      </c>
      <c r="AG66" s="149">
        <f t="shared" si="48"/>
        <v>0</v>
      </c>
      <c r="AH66" s="149">
        <f t="shared" si="48"/>
        <v>0</v>
      </c>
      <c r="AI66" s="149">
        <f t="shared" si="48"/>
        <v>0</v>
      </c>
      <c r="AJ66" s="201">
        <f t="shared" si="48"/>
        <v>0</v>
      </c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</row>
    <row r="67" spans="1:56" ht="14.4" x14ac:dyDescent="0.25">
      <c r="A67" s="106" t="s">
        <v>272</v>
      </c>
      <c r="B67" s="202" t="s">
        <v>128</v>
      </c>
      <c r="C67" s="108">
        <f t="shared" ref="C67:D67" si="49">C66*C68</f>
        <v>4500</v>
      </c>
      <c r="D67" s="132">
        <f t="shared" si="49"/>
        <v>150</v>
      </c>
      <c r="E67" s="108">
        <f>SUM(F67:AJ67)</f>
        <v>0</v>
      </c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4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</row>
    <row r="68" spans="1:56" ht="28.8" x14ac:dyDescent="0.25">
      <c r="A68" s="99" t="s">
        <v>273</v>
      </c>
      <c r="B68" s="94" t="s">
        <v>128</v>
      </c>
      <c r="C68" s="111">
        <v>0.6</v>
      </c>
      <c r="D68" s="111">
        <v>0.6</v>
      </c>
      <c r="E68" s="111" t="e">
        <f t="shared" ref="E68:AJ68" si="50">E67/E64</f>
        <v>#DIV/0!</v>
      </c>
      <c r="F68" s="167" t="e">
        <f t="shared" si="50"/>
        <v>#DIV/0!</v>
      </c>
      <c r="G68" s="167" t="e">
        <f t="shared" si="50"/>
        <v>#DIV/0!</v>
      </c>
      <c r="H68" s="167" t="e">
        <f t="shared" si="50"/>
        <v>#DIV/0!</v>
      </c>
      <c r="I68" s="167" t="e">
        <f t="shared" si="50"/>
        <v>#DIV/0!</v>
      </c>
      <c r="J68" s="167" t="e">
        <f t="shared" si="50"/>
        <v>#DIV/0!</v>
      </c>
      <c r="K68" s="167" t="e">
        <f t="shared" si="50"/>
        <v>#DIV/0!</v>
      </c>
      <c r="L68" s="167" t="e">
        <f t="shared" si="50"/>
        <v>#DIV/0!</v>
      </c>
      <c r="M68" s="167" t="e">
        <f t="shared" si="50"/>
        <v>#DIV/0!</v>
      </c>
      <c r="N68" s="167" t="e">
        <f t="shared" si="50"/>
        <v>#DIV/0!</v>
      </c>
      <c r="O68" s="167" t="e">
        <f t="shared" si="50"/>
        <v>#DIV/0!</v>
      </c>
      <c r="P68" s="167" t="e">
        <f t="shared" si="50"/>
        <v>#DIV/0!</v>
      </c>
      <c r="Q68" s="167" t="e">
        <f t="shared" si="50"/>
        <v>#DIV/0!</v>
      </c>
      <c r="R68" s="167" t="e">
        <f t="shared" si="50"/>
        <v>#DIV/0!</v>
      </c>
      <c r="S68" s="167" t="e">
        <f t="shared" si="50"/>
        <v>#DIV/0!</v>
      </c>
      <c r="T68" s="167" t="e">
        <f t="shared" si="50"/>
        <v>#DIV/0!</v>
      </c>
      <c r="U68" s="167" t="e">
        <f t="shared" si="50"/>
        <v>#DIV/0!</v>
      </c>
      <c r="V68" s="167" t="e">
        <f t="shared" si="50"/>
        <v>#DIV/0!</v>
      </c>
      <c r="W68" s="167" t="e">
        <f t="shared" si="50"/>
        <v>#DIV/0!</v>
      </c>
      <c r="X68" s="167" t="e">
        <f t="shared" si="50"/>
        <v>#DIV/0!</v>
      </c>
      <c r="Y68" s="167" t="e">
        <f t="shared" si="50"/>
        <v>#DIV/0!</v>
      </c>
      <c r="Z68" s="167" t="e">
        <f t="shared" si="50"/>
        <v>#DIV/0!</v>
      </c>
      <c r="AA68" s="167" t="e">
        <f t="shared" si="50"/>
        <v>#DIV/0!</v>
      </c>
      <c r="AB68" s="167" t="e">
        <f t="shared" si="50"/>
        <v>#DIV/0!</v>
      </c>
      <c r="AC68" s="167" t="e">
        <f t="shared" si="50"/>
        <v>#DIV/0!</v>
      </c>
      <c r="AD68" s="167" t="e">
        <f t="shared" si="50"/>
        <v>#DIV/0!</v>
      </c>
      <c r="AE68" s="167" t="e">
        <f t="shared" si="50"/>
        <v>#DIV/0!</v>
      </c>
      <c r="AF68" s="167" t="e">
        <f t="shared" si="50"/>
        <v>#DIV/0!</v>
      </c>
      <c r="AG68" s="167" t="e">
        <f t="shared" si="50"/>
        <v>#DIV/0!</v>
      </c>
      <c r="AH68" s="167" t="e">
        <f t="shared" si="50"/>
        <v>#DIV/0!</v>
      </c>
      <c r="AI68" s="167" t="e">
        <f t="shared" si="50"/>
        <v>#DIV/0!</v>
      </c>
      <c r="AJ68" s="168" t="e">
        <f t="shared" si="50"/>
        <v>#DIV/0!</v>
      </c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</row>
    <row r="69" spans="1:56" ht="14.4" x14ac:dyDescent="0.25">
      <c r="A69" s="99" t="s">
        <v>265</v>
      </c>
      <c r="B69" s="94" t="s">
        <v>128</v>
      </c>
      <c r="C69" s="152">
        <f t="shared" ref="C69:D69" si="51">C66*C70</f>
        <v>3000</v>
      </c>
      <c r="D69" s="152">
        <f t="shared" si="51"/>
        <v>100</v>
      </c>
      <c r="E69" s="100">
        <f>SUM(F69:AJ69)</f>
        <v>0</v>
      </c>
      <c r="F69" s="205">
        <f t="shared" ref="F69:AJ69" si="52">F64-F67</f>
        <v>0</v>
      </c>
      <c r="G69" s="205">
        <f t="shared" si="52"/>
        <v>0</v>
      </c>
      <c r="H69" s="205">
        <f t="shared" si="52"/>
        <v>0</v>
      </c>
      <c r="I69" s="205">
        <f t="shared" si="52"/>
        <v>0</v>
      </c>
      <c r="J69" s="205">
        <f t="shared" si="52"/>
        <v>0</v>
      </c>
      <c r="K69" s="205">
        <f t="shared" si="52"/>
        <v>0</v>
      </c>
      <c r="L69" s="205">
        <f t="shared" si="52"/>
        <v>0</v>
      </c>
      <c r="M69" s="205">
        <f t="shared" si="52"/>
        <v>0</v>
      </c>
      <c r="N69" s="205">
        <f t="shared" si="52"/>
        <v>0</v>
      </c>
      <c r="O69" s="205">
        <f t="shared" si="52"/>
        <v>0</v>
      </c>
      <c r="P69" s="205">
        <f t="shared" si="52"/>
        <v>0</v>
      </c>
      <c r="Q69" s="205">
        <f t="shared" si="52"/>
        <v>0</v>
      </c>
      <c r="R69" s="205">
        <f t="shared" si="52"/>
        <v>0</v>
      </c>
      <c r="S69" s="205">
        <f t="shared" si="52"/>
        <v>0</v>
      </c>
      <c r="T69" s="205">
        <f t="shared" si="52"/>
        <v>0</v>
      </c>
      <c r="U69" s="205">
        <f t="shared" si="52"/>
        <v>0</v>
      </c>
      <c r="V69" s="205">
        <f t="shared" si="52"/>
        <v>0</v>
      </c>
      <c r="W69" s="205">
        <f t="shared" si="52"/>
        <v>0</v>
      </c>
      <c r="X69" s="205">
        <f t="shared" si="52"/>
        <v>0</v>
      </c>
      <c r="Y69" s="205">
        <f t="shared" si="52"/>
        <v>0</v>
      </c>
      <c r="Z69" s="205">
        <f t="shared" si="52"/>
        <v>0</v>
      </c>
      <c r="AA69" s="205">
        <f t="shared" si="52"/>
        <v>0</v>
      </c>
      <c r="AB69" s="205">
        <f t="shared" si="52"/>
        <v>0</v>
      </c>
      <c r="AC69" s="205">
        <f t="shared" si="52"/>
        <v>0</v>
      </c>
      <c r="AD69" s="205">
        <f t="shared" si="52"/>
        <v>0</v>
      </c>
      <c r="AE69" s="205">
        <f t="shared" si="52"/>
        <v>0</v>
      </c>
      <c r="AF69" s="205">
        <f t="shared" si="52"/>
        <v>0</v>
      </c>
      <c r="AG69" s="205">
        <f t="shared" si="52"/>
        <v>0</v>
      </c>
      <c r="AH69" s="205">
        <f t="shared" si="52"/>
        <v>0</v>
      </c>
      <c r="AI69" s="205">
        <f t="shared" si="52"/>
        <v>0</v>
      </c>
      <c r="AJ69" s="206">
        <f t="shared" si="52"/>
        <v>0</v>
      </c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</row>
    <row r="70" spans="1:56" ht="28.8" x14ac:dyDescent="0.25">
      <c r="A70" s="141" t="s">
        <v>274</v>
      </c>
      <c r="B70" s="122" t="s">
        <v>128</v>
      </c>
      <c r="C70" s="153">
        <v>0.4</v>
      </c>
      <c r="D70" s="153">
        <v>0.4</v>
      </c>
      <c r="E70" s="153" t="e">
        <f t="shared" ref="E70:AJ70" si="53">E69/E64</f>
        <v>#DIV/0!</v>
      </c>
      <c r="F70" s="169" t="e">
        <f t="shared" si="53"/>
        <v>#DIV/0!</v>
      </c>
      <c r="G70" s="169" t="e">
        <f t="shared" si="53"/>
        <v>#DIV/0!</v>
      </c>
      <c r="H70" s="169" t="e">
        <f t="shared" si="53"/>
        <v>#DIV/0!</v>
      </c>
      <c r="I70" s="169" t="e">
        <f t="shared" si="53"/>
        <v>#DIV/0!</v>
      </c>
      <c r="J70" s="169" t="e">
        <f t="shared" si="53"/>
        <v>#DIV/0!</v>
      </c>
      <c r="K70" s="169" t="e">
        <f t="shared" si="53"/>
        <v>#DIV/0!</v>
      </c>
      <c r="L70" s="169" t="e">
        <f t="shared" si="53"/>
        <v>#DIV/0!</v>
      </c>
      <c r="M70" s="169" t="e">
        <f t="shared" si="53"/>
        <v>#DIV/0!</v>
      </c>
      <c r="N70" s="169" t="e">
        <f t="shared" si="53"/>
        <v>#DIV/0!</v>
      </c>
      <c r="O70" s="169" t="e">
        <f t="shared" si="53"/>
        <v>#DIV/0!</v>
      </c>
      <c r="P70" s="169" t="e">
        <f t="shared" si="53"/>
        <v>#DIV/0!</v>
      </c>
      <c r="Q70" s="169" t="e">
        <f t="shared" si="53"/>
        <v>#DIV/0!</v>
      </c>
      <c r="R70" s="169" t="e">
        <f t="shared" si="53"/>
        <v>#DIV/0!</v>
      </c>
      <c r="S70" s="169" t="e">
        <f t="shared" si="53"/>
        <v>#DIV/0!</v>
      </c>
      <c r="T70" s="169" t="e">
        <f t="shared" si="53"/>
        <v>#DIV/0!</v>
      </c>
      <c r="U70" s="169" t="e">
        <f t="shared" si="53"/>
        <v>#DIV/0!</v>
      </c>
      <c r="V70" s="169" t="e">
        <f t="shared" si="53"/>
        <v>#DIV/0!</v>
      </c>
      <c r="W70" s="169" t="e">
        <f t="shared" si="53"/>
        <v>#DIV/0!</v>
      </c>
      <c r="X70" s="169" t="e">
        <f t="shared" si="53"/>
        <v>#DIV/0!</v>
      </c>
      <c r="Y70" s="169" t="e">
        <f t="shared" si="53"/>
        <v>#DIV/0!</v>
      </c>
      <c r="Z70" s="169" t="e">
        <f t="shared" si="53"/>
        <v>#DIV/0!</v>
      </c>
      <c r="AA70" s="169" t="e">
        <f t="shared" si="53"/>
        <v>#DIV/0!</v>
      </c>
      <c r="AB70" s="169" t="e">
        <f t="shared" si="53"/>
        <v>#DIV/0!</v>
      </c>
      <c r="AC70" s="169" t="e">
        <f t="shared" si="53"/>
        <v>#DIV/0!</v>
      </c>
      <c r="AD70" s="169" t="e">
        <f t="shared" si="53"/>
        <v>#DIV/0!</v>
      </c>
      <c r="AE70" s="169" t="e">
        <f t="shared" si="53"/>
        <v>#DIV/0!</v>
      </c>
      <c r="AF70" s="169" t="e">
        <f t="shared" si="53"/>
        <v>#DIV/0!</v>
      </c>
      <c r="AG70" s="169" t="e">
        <f t="shared" si="53"/>
        <v>#DIV/0!</v>
      </c>
      <c r="AH70" s="169" t="e">
        <f t="shared" si="53"/>
        <v>#DIV/0!</v>
      </c>
      <c r="AI70" s="169" t="e">
        <f t="shared" si="53"/>
        <v>#DIV/0!</v>
      </c>
      <c r="AJ70" s="170" t="e">
        <f t="shared" si="53"/>
        <v>#DIV/0!</v>
      </c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</row>
    <row r="71" spans="1:56" ht="12.55" x14ac:dyDescent="0.2">
      <c r="A71" s="88"/>
      <c r="B71" s="88"/>
      <c r="C71" s="155"/>
      <c r="D71" s="112"/>
      <c r="E71" s="112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</row>
    <row r="72" spans="1:56" ht="14.4" x14ac:dyDescent="0.25">
      <c r="A72" s="139" t="s">
        <v>275</v>
      </c>
      <c r="B72" s="89"/>
      <c r="C72" s="89"/>
      <c r="D72" s="90"/>
      <c r="E72" s="157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2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</row>
    <row r="73" spans="1:56" ht="14.4" x14ac:dyDescent="0.25">
      <c r="A73" s="99" t="s">
        <v>276</v>
      </c>
      <c r="B73" s="94" t="s">
        <v>128</v>
      </c>
      <c r="C73" s="100">
        <f t="shared" ref="C73:C75" si="54">+D73*30</f>
        <v>4500</v>
      </c>
      <c r="D73" s="207">
        <f>+D67</f>
        <v>150</v>
      </c>
      <c r="E73" s="158">
        <f t="shared" ref="E73:E75" si="55">SUM(F73:AJ73)</f>
        <v>0</v>
      </c>
      <c r="F73" s="148"/>
      <c r="G73" s="148">
        <f t="shared" ref="G73:Q73" si="56">+G67</f>
        <v>0</v>
      </c>
      <c r="H73" s="148">
        <f t="shared" si="56"/>
        <v>0</v>
      </c>
      <c r="I73" s="148">
        <f t="shared" si="56"/>
        <v>0</v>
      </c>
      <c r="J73" s="148">
        <f t="shared" si="56"/>
        <v>0</v>
      </c>
      <c r="K73" s="148">
        <f t="shared" si="56"/>
        <v>0</v>
      </c>
      <c r="L73" s="148">
        <f t="shared" si="56"/>
        <v>0</v>
      </c>
      <c r="M73" s="148">
        <f t="shared" si="56"/>
        <v>0</v>
      </c>
      <c r="N73" s="148">
        <f t="shared" si="56"/>
        <v>0</v>
      </c>
      <c r="O73" s="148">
        <f t="shared" si="56"/>
        <v>0</v>
      </c>
      <c r="P73" s="148">
        <f t="shared" si="56"/>
        <v>0</v>
      </c>
      <c r="Q73" s="148">
        <f t="shared" si="56"/>
        <v>0</v>
      </c>
      <c r="R73" s="148"/>
      <c r="S73" s="148"/>
      <c r="T73" s="148"/>
      <c r="U73" s="148">
        <f t="shared" ref="U73:AJ73" si="57">+U67</f>
        <v>0</v>
      </c>
      <c r="V73" s="148">
        <f t="shared" si="57"/>
        <v>0</v>
      </c>
      <c r="W73" s="148">
        <f t="shared" si="57"/>
        <v>0</v>
      </c>
      <c r="X73" s="148">
        <f t="shared" si="57"/>
        <v>0</v>
      </c>
      <c r="Y73" s="148">
        <f t="shared" si="57"/>
        <v>0</v>
      </c>
      <c r="Z73" s="148">
        <f t="shared" si="57"/>
        <v>0</v>
      </c>
      <c r="AA73" s="148">
        <f t="shared" si="57"/>
        <v>0</v>
      </c>
      <c r="AB73" s="148">
        <f t="shared" si="57"/>
        <v>0</v>
      </c>
      <c r="AC73" s="148">
        <f t="shared" si="57"/>
        <v>0</v>
      </c>
      <c r="AD73" s="148">
        <f t="shared" si="57"/>
        <v>0</v>
      </c>
      <c r="AE73" s="148">
        <f t="shared" si="57"/>
        <v>0</v>
      </c>
      <c r="AF73" s="148">
        <f t="shared" si="57"/>
        <v>0</v>
      </c>
      <c r="AG73" s="148">
        <f t="shared" si="57"/>
        <v>0</v>
      </c>
      <c r="AH73" s="148">
        <f t="shared" si="57"/>
        <v>0</v>
      </c>
      <c r="AI73" s="148">
        <f t="shared" si="57"/>
        <v>0</v>
      </c>
      <c r="AJ73" s="150">
        <f t="shared" si="57"/>
        <v>0</v>
      </c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</row>
    <row r="74" spans="1:56" ht="14.4" x14ac:dyDescent="0.25">
      <c r="A74" s="159" t="s">
        <v>277</v>
      </c>
      <c r="B74" s="159" t="s">
        <v>128</v>
      </c>
      <c r="C74" s="160">
        <f t="shared" si="54"/>
        <v>1800</v>
      </c>
      <c r="D74" s="208">
        <f>+D73*D76</f>
        <v>60</v>
      </c>
      <c r="E74" s="161">
        <f t="shared" si="55"/>
        <v>0</v>
      </c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3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</row>
    <row r="75" spans="1:56" ht="14.4" x14ac:dyDescent="0.25">
      <c r="A75" s="159" t="s">
        <v>278</v>
      </c>
      <c r="B75" s="159" t="s">
        <v>128</v>
      </c>
      <c r="C75" s="160" t="e">
        <f t="shared" si="54"/>
        <v>#VALUE!</v>
      </c>
      <c r="D75" s="208" t="s">
        <v>294</v>
      </c>
      <c r="E75" s="161">
        <f t="shared" si="55"/>
        <v>0</v>
      </c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3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</row>
    <row r="76" spans="1:56" ht="14.4" x14ac:dyDescent="0.25">
      <c r="A76" s="99" t="s">
        <v>279</v>
      </c>
      <c r="B76" s="94" t="s">
        <v>128</v>
      </c>
      <c r="C76" s="111">
        <v>0.4</v>
      </c>
      <c r="D76" s="111">
        <v>0.4</v>
      </c>
      <c r="E76" s="164" t="e">
        <f t="shared" ref="E76:AJ76" si="58">+E74/E73</f>
        <v>#DIV/0!</v>
      </c>
      <c r="F76" s="209" t="e">
        <f t="shared" si="58"/>
        <v>#DIV/0!</v>
      </c>
      <c r="G76" s="209" t="e">
        <f t="shared" si="58"/>
        <v>#DIV/0!</v>
      </c>
      <c r="H76" s="209" t="e">
        <f t="shared" si="58"/>
        <v>#DIV/0!</v>
      </c>
      <c r="I76" s="209" t="e">
        <f t="shared" si="58"/>
        <v>#DIV/0!</v>
      </c>
      <c r="J76" s="209" t="e">
        <f t="shared" si="58"/>
        <v>#DIV/0!</v>
      </c>
      <c r="K76" s="209" t="e">
        <f t="shared" si="58"/>
        <v>#DIV/0!</v>
      </c>
      <c r="L76" s="209" t="e">
        <f t="shared" si="58"/>
        <v>#DIV/0!</v>
      </c>
      <c r="M76" s="209" t="e">
        <f t="shared" si="58"/>
        <v>#DIV/0!</v>
      </c>
      <c r="N76" s="209" t="e">
        <f t="shared" si="58"/>
        <v>#DIV/0!</v>
      </c>
      <c r="O76" s="209" t="e">
        <f t="shared" si="58"/>
        <v>#DIV/0!</v>
      </c>
      <c r="P76" s="209" t="e">
        <f t="shared" si="58"/>
        <v>#DIV/0!</v>
      </c>
      <c r="Q76" s="209" t="e">
        <f t="shared" si="58"/>
        <v>#DIV/0!</v>
      </c>
      <c r="R76" s="209" t="e">
        <f t="shared" si="58"/>
        <v>#DIV/0!</v>
      </c>
      <c r="S76" s="209" t="e">
        <f t="shared" si="58"/>
        <v>#DIV/0!</v>
      </c>
      <c r="T76" s="209" t="e">
        <f t="shared" si="58"/>
        <v>#DIV/0!</v>
      </c>
      <c r="U76" s="209" t="e">
        <f t="shared" si="58"/>
        <v>#DIV/0!</v>
      </c>
      <c r="V76" s="209" t="e">
        <f t="shared" si="58"/>
        <v>#DIV/0!</v>
      </c>
      <c r="W76" s="209" t="e">
        <f t="shared" si="58"/>
        <v>#DIV/0!</v>
      </c>
      <c r="X76" s="209" t="e">
        <f t="shared" si="58"/>
        <v>#DIV/0!</v>
      </c>
      <c r="Y76" s="209" t="e">
        <f t="shared" si="58"/>
        <v>#DIV/0!</v>
      </c>
      <c r="Z76" s="209" t="e">
        <f t="shared" si="58"/>
        <v>#DIV/0!</v>
      </c>
      <c r="AA76" s="209" t="e">
        <f t="shared" si="58"/>
        <v>#DIV/0!</v>
      </c>
      <c r="AB76" s="209" t="e">
        <f t="shared" si="58"/>
        <v>#DIV/0!</v>
      </c>
      <c r="AC76" s="209" t="e">
        <f t="shared" si="58"/>
        <v>#DIV/0!</v>
      </c>
      <c r="AD76" s="209" t="e">
        <f t="shared" si="58"/>
        <v>#DIV/0!</v>
      </c>
      <c r="AE76" s="209" t="e">
        <f t="shared" si="58"/>
        <v>#DIV/0!</v>
      </c>
      <c r="AF76" s="209" t="e">
        <f t="shared" si="58"/>
        <v>#DIV/0!</v>
      </c>
      <c r="AG76" s="209" t="e">
        <f t="shared" si="58"/>
        <v>#DIV/0!</v>
      </c>
      <c r="AH76" s="209" t="e">
        <f t="shared" si="58"/>
        <v>#DIV/0!</v>
      </c>
      <c r="AI76" s="209" t="e">
        <f t="shared" si="58"/>
        <v>#DIV/0!</v>
      </c>
      <c r="AJ76" s="210" t="e">
        <f t="shared" si="58"/>
        <v>#DIV/0!</v>
      </c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</row>
    <row r="77" spans="1:56" ht="14.4" x14ac:dyDescent="0.25">
      <c r="A77" s="99" t="s">
        <v>280</v>
      </c>
      <c r="B77" s="94" t="s">
        <v>128</v>
      </c>
      <c r="C77" s="127">
        <f>+D77*30</f>
        <v>1800</v>
      </c>
      <c r="D77" s="135">
        <f>+D73*D78</f>
        <v>60</v>
      </c>
      <c r="E77" s="158">
        <f>SUM(F77:AJ77)</f>
        <v>0</v>
      </c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2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</row>
    <row r="78" spans="1:56" ht="14.4" x14ac:dyDescent="0.25">
      <c r="A78" s="99" t="s">
        <v>281</v>
      </c>
      <c r="B78" s="94" t="s">
        <v>128</v>
      </c>
      <c r="C78" s="165">
        <v>0.4</v>
      </c>
      <c r="D78" s="165">
        <v>0.4</v>
      </c>
      <c r="E78" s="166" t="e">
        <f t="shared" ref="E78:AJ78" si="59">+E77/E73</f>
        <v>#DIV/0!</v>
      </c>
      <c r="F78" s="167" t="e">
        <f t="shared" si="59"/>
        <v>#DIV/0!</v>
      </c>
      <c r="G78" s="167" t="e">
        <f t="shared" si="59"/>
        <v>#DIV/0!</v>
      </c>
      <c r="H78" s="167" t="e">
        <f t="shared" si="59"/>
        <v>#DIV/0!</v>
      </c>
      <c r="I78" s="167" t="e">
        <f t="shared" si="59"/>
        <v>#DIV/0!</v>
      </c>
      <c r="J78" s="167" t="e">
        <f t="shared" si="59"/>
        <v>#DIV/0!</v>
      </c>
      <c r="K78" s="167" t="e">
        <f t="shared" si="59"/>
        <v>#DIV/0!</v>
      </c>
      <c r="L78" s="167" t="e">
        <f t="shared" si="59"/>
        <v>#DIV/0!</v>
      </c>
      <c r="M78" s="167" t="e">
        <f t="shared" si="59"/>
        <v>#DIV/0!</v>
      </c>
      <c r="N78" s="167" t="e">
        <f t="shared" si="59"/>
        <v>#DIV/0!</v>
      </c>
      <c r="O78" s="167" t="e">
        <f t="shared" si="59"/>
        <v>#DIV/0!</v>
      </c>
      <c r="P78" s="167" t="e">
        <f t="shared" si="59"/>
        <v>#DIV/0!</v>
      </c>
      <c r="Q78" s="167" t="e">
        <f t="shared" si="59"/>
        <v>#DIV/0!</v>
      </c>
      <c r="R78" s="167" t="e">
        <f t="shared" si="59"/>
        <v>#DIV/0!</v>
      </c>
      <c r="S78" s="167" t="e">
        <f t="shared" si="59"/>
        <v>#DIV/0!</v>
      </c>
      <c r="T78" s="167" t="e">
        <f t="shared" si="59"/>
        <v>#DIV/0!</v>
      </c>
      <c r="U78" s="167" t="e">
        <f t="shared" si="59"/>
        <v>#DIV/0!</v>
      </c>
      <c r="V78" s="167" t="e">
        <f t="shared" si="59"/>
        <v>#DIV/0!</v>
      </c>
      <c r="W78" s="167" t="e">
        <f t="shared" si="59"/>
        <v>#DIV/0!</v>
      </c>
      <c r="X78" s="167" t="e">
        <f t="shared" si="59"/>
        <v>#DIV/0!</v>
      </c>
      <c r="Y78" s="167" t="e">
        <f t="shared" si="59"/>
        <v>#DIV/0!</v>
      </c>
      <c r="Z78" s="167" t="e">
        <f t="shared" si="59"/>
        <v>#DIV/0!</v>
      </c>
      <c r="AA78" s="167" t="e">
        <f t="shared" si="59"/>
        <v>#DIV/0!</v>
      </c>
      <c r="AB78" s="167" t="e">
        <f t="shared" si="59"/>
        <v>#DIV/0!</v>
      </c>
      <c r="AC78" s="167" t="e">
        <f t="shared" si="59"/>
        <v>#DIV/0!</v>
      </c>
      <c r="AD78" s="167" t="e">
        <f t="shared" si="59"/>
        <v>#DIV/0!</v>
      </c>
      <c r="AE78" s="167" t="e">
        <f t="shared" si="59"/>
        <v>#DIV/0!</v>
      </c>
      <c r="AF78" s="167" t="e">
        <f t="shared" si="59"/>
        <v>#DIV/0!</v>
      </c>
      <c r="AG78" s="167" t="e">
        <f t="shared" si="59"/>
        <v>#DIV/0!</v>
      </c>
      <c r="AH78" s="167" t="e">
        <f t="shared" si="59"/>
        <v>#DIV/0!</v>
      </c>
      <c r="AI78" s="167" t="e">
        <f t="shared" si="59"/>
        <v>#DIV/0!</v>
      </c>
      <c r="AJ78" s="168" t="e">
        <f t="shared" si="59"/>
        <v>#DIV/0!</v>
      </c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</row>
    <row r="79" spans="1:56" ht="14.4" x14ac:dyDescent="0.25">
      <c r="A79" s="151" t="s">
        <v>282</v>
      </c>
      <c r="B79" s="94" t="s">
        <v>128</v>
      </c>
      <c r="C79" s="127">
        <f>+D79*30</f>
        <v>900</v>
      </c>
      <c r="D79" s="135">
        <f>+D73*D80</f>
        <v>30</v>
      </c>
      <c r="E79" s="158">
        <f>SUM(F79:AJ79)</f>
        <v>0</v>
      </c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2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</row>
    <row r="80" spans="1:56" ht="28.8" x14ac:dyDescent="0.25">
      <c r="A80" s="121" t="s">
        <v>283</v>
      </c>
      <c r="B80" s="122" t="s">
        <v>128</v>
      </c>
      <c r="C80" s="153">
        <v>0.2</v>
      </c>
      <c r="D80" s="153">
        <v>0.2</v>
      </c>
      <c r="E80" s="154" t="e">
        <f t="shared" ref="E80:AJ80" si="60">+E79/E73</f>
        <v>#DIV/0!</v>
      </c>
      <c r="F80" s="169" t="e">
        <f t="shared" si="60"/>
        <v>#DIV/0!</v>
      </c>
      <c r="G80" s="169" t="e">
        <f t="shared" si="60"/>
        <v>#DIV/0!</v>
      </c>
      <c r="H80" s="169" t="e">
        <f t="shared" si="60"/>
        <v>#DIV/0!</v>
      </c>
      <c r="I80" s="169" t="e">
        <f t="shared" si="60"/>
        <v>#DIV/0!</v>
      </c>
      <c r="J80" s="169" t="e">
        <f t="shared" si="60"/>
        <v>#DIV/0!</v>
      </c>
      <c r="K80" s="169" t="e">
        <f t="shared" si="60"/>
        <v>#DIV/0!</v>
      </c>
      <c r="L80" s="169" t="e">
        <f t="shared" si="60"/>
        <v>#DIV/0!</v>
      </c>
      <c r="M80" s="169" t="e">
        <f t="shared" si="60"/>
        <v>#DIV/0!</v>
      </c>
      <c r="N80" s="169" t="e">
        <f t="shared" si="60"/>
        <v>#DIV/0!</v>
      </c>
      <c r="O80" s="169" t="e">
        <f t="shared" si="60"/>
        <v>#DIV/0!</v>
      </c>
      <c r="P80" s="169" t="e">
        <f t="shared" si="60"/>
        <v>#DIV/0!</v>
      </c>
      <c r="Q80" s="169" t="e">
        <f t="shared" si="60"/>
        <v>#DIV/0!</v>
      </c>
      <c r="R80" s="169" t="e">
        <f t="shared" si="60"/>
        <v>#DIV/0!</v>
      </c>
      <c r="S80" s="169" t="e">
        <f t="shared" si="60"/>
        <v>#DIV/0!</v>
      </c>
      <c r="T80" s="169" t="e">
        <f t="shared" si="60"/>
        <v>#DIV/0!</v>
      </c>
      <c r="U80" s="169" t="e">
        <f t="shared" si="60"/>
        <v>#DIV/0!</v>
      </c>
      <c r="V80" s="169" t="e">
        <f t="shared" si="60"/>
        <v>#DIV/0!</v>
      </c>
      <c r="W80" s="169" t="e">
        <f t="shared" si="60"/>
        <v>#DIV/0!</v>
      </c>
      <c r="X80" s="169" t="e">
        <f t="shared" si="60"/>
        <v>#DIV/0!</v>
      </c>
      <c r="Y80" s="169" t="e">
        <f t="shared" si="60"/>
        <v>#DIV/0!</v>
      </c>
      <c r="Z80" s="169" t="e">
        <f t="shared" si="60"/>
        <v>#DIV/0!</v>
      </c>
      <c r="AA80" s="169" t="e">
        <f t="shared" si="60"/>
        <v>#DIV/0!</v>
      </c>
      <c r="AB80" s="169" t="e">
        <f t="shared" si="60"/>
        <v>#DIV/0!</v>
      </c>
      <c r="AC80" s="169" t="e">
        <f t="shared" si="60"/>
        <v>#DIV/0!</v>
      </c>
      <c r="AD80" s="169" t="e">
        <f t="shared" si="60"/>
        <v>#DIV/0!</v>
      </c>
      <c r="AE80" s="169" t="e">
        <f t="shared" si="60"/>
        <v>#DIV/0!</v>
      </c>
      <c r="AF80" s="169" t="e">
        <f t="shared" si="60"/>
        <v>#DIV/0!</v>
      </c>
      <c r="AG80" s="169" t="e">
        <f t="shared" si="60"/>
        <v>#DIV/0!</v>
      </c>
      <c r="AH80" s="169" t="e">
        <f t="shared" si="60"/>
        <v>#DIV/0!</v>
      </c>
      <c r="AI80" s="169" t="e">
        <f t="shared" si="60"/>
        <v>#DIV/0!</v>
      </c>
      <c r="AJ80" s="170" t="e">
        <f t="shared" si="60"/>
        <v>#DIV/0!</v>
      </c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</row>
    <row r="81" spans="1:56" ht="12.55" x14ac:dyDescent="0.2">
      <c r="A81" s="88"/>
      <c r="B81" s="88"/>
      <c r="C81" s="88"/>
      <c r="D81" s="112"/>
      <c r="E81" s="112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</row>
    <row r="82" spans="1:56" ht="12.55" x14ac:dyDescent="0.2">
      <c r="A82" s="88"/>
      <c r="B82" s="88"/>
      <c r="C82" s="88"/>
      <c r="D82" s="112"/>
      <c r="E82" s="112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</row>
    <row r="83" spans="1:56" ht="28.8" x14ac:dyDescent="0.25">
      <c r="A83" s="211" t="s">
        <v>284</v>
      </c>
      <c r="B83" s="171"/>
      <c r="C83" s="172" t="e">
        <f>C75*C86</f>
        <v>#VALUE!</v>
      </c>
      <c r="D83" s="173" t="e">
        <f>+D75*D86</f>
        <v>#VALUE!</v>
      </c>
      <c r="E83" s="174">
        <f>SUM(F83:AJ83)</f>
        <v>0</v>
      </c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6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</row>
    <row r="84" spans="1:56" ht="14.4" x14ac:dyDescent="0.25">
      <c r="A84" s="177" t="s">
        <v>285</v>
      </c>
      <c r="B84" s="88"/>
      <c r="C84" s="88"/>
      <c r="D84" s="124"/>
      <c r="E84" s="124"/>
      <c r="F84" s="178">
        <f t="shared" ref="F84:AJ84" si="61">F75</f>
        <v>0</v>
      </c>
      <c r="G84" s="178">
        <f t="shared" si="61"/>
        <v>0</v>
      </c>
      <c r="H84" s="178">
        <f t="shared" si="61"/>
        <v>0</v>
      </c>
      <c r="I84" s="178">
        <f t="shared" si="61"/>
        <v>0</v>
      </c>
      <c r="J84" s="178">
        <f t="shared" si="61"/>
        <v>0</v>
      </c>
      <c r="K84" s="178">
        <f t="shared" si="61"/>
        <v>0</v>
      </c>
      <c r="L84" s="178">
        <f t="shared" si="61"/>
        <v>0</v>
      </c>
      <c r="M84" s="178">
        <f t="shared" si="61"/>
        <v>0</v>
      </c>
      <c r="N84" s="178">
        <f t="shared" si="61"/>
        <v>0</v>
      </c>
      <c r="O84" s="178">
        <f t="shared" si="61"/>
        <v>0</v>
      </c>
      <c r="P84" s="178">
        <f t="shared" si="61"/>
        <v>0</v>
      </c>
      <c r="Q84" s="178">
        <f t="shared" si="61"/>
        <v>0</v>
      </c>
      <c r="R84" s="178">
        <f t="shared" si="61"/>
        <v>0</v>
      </c>
      <c r="S84" s="178">
        <f t="shared" si="61"/>
        <v>0</v>
      </c>
      <c r="T84" s="178">
        <f t="shared" si="61"/>
        <v>0</v>
      </c>
      <c r="U84" s="178">
        <f t="shared" si="61"/>
        <v>0</v>
      </c>
      <c r="V84" s="178">
        <f t="shared" si="61"/>
        <v>0</v>
      </c>
      <c r="W84" s="178">
        <f t="shared" si="61"/>
        <v>0</v>
      </c>
      <c r="X84" s="178">
        <f t="shared" si="61"/>
        <v>0</v>
      </c>
      <c r="Y84" s="178">
        <f t="shared" si="61"/>
        <v>0</v>
      </c>
      <c r="Z84" s="178">
        <f t="shared" si="61"/>
        <v>0</v>
      </c>
      <c r="AA84" s="178">
        <f t="shared" si="61"/>
        <v>0</v>
      </c>
      <c r="AB84" s="178">
        <f t="shared" si="61"/>
        <v>0</v>
      </c>
      <c r="AC84" s="178">
        <f t="shared" si="61"/>
        <v>0</v>
      </c>
      <c r="AD84" s="178">
        <f t="shared" si="61"/>
        <v>0</v>
      </c>
      <c r="AE84" s="178">
        <f t="shared" si="61"/>
        <v>0</v>
      </c>
      <c r="AF84" s="178">
        <f t="shared" si="61"/>
        <v>0</v>
      </c>
      <c r="AG84" s="178">
        <f t="shared" si="61"/>
        <v>0</v>
      </c>
      <c r="AH84" s="178">
        <f t="shared" si="61"/>
        <v>0</v>
      </c>
      <c r="AI84" s="178">
        <f t="shared" si="61"/>
        <v>0</v>
      </c>
      <c r="AJ84" s="178">
        <f t="shared" si="61"/>
        <v>0</v>
      </c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</row>
    <row r="85" spans="1:56" ht="14.4" x14ac:dyDescent="0.25">
      <c r="A85" s="159" t="s">
        <v>286</v>
      </c>
      <c r="B85" s="179"/>
      <c r="C85" s="180" t="e">
        <f t="shared" ref="C85:D85" si="62">C75-C83</f>
        <v>#VALUE!</v>
      </c>
      <c r="D85" s="180" t="e">
        <f t="shared" si="62"/>
        <v>#VALUE!</v>
      </c>
      <c r="E85" s="180">
        <f>SUM(F85:AJ85)</f>
        <v>0</v>
      </c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81"/>
      <c r="AJ85" s="182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</row>
    <row r="86" spans="1:56" ht="14.4" x14ac:dyDescent="0.25">
      <c r="A86" s="99" t="s">
        <v>293</v>
      </c>
      <c r="B86" s="88"/>
      <c r="C86" s="111">
        <v>0.1</v>
      </c>
      <c r="D86" s="111">
        <v>0.1</v>
      </c>
      <c r="E86" s="111" t="e">
        <f t="shared" ref="E86:AJ86" si="63">E85/E75</f>
        <v>#DIV/0!</v>
      </c>
      <c r="F86" s="167" t="e">
        <f t="shared" si="63"/>
        <v>#DIV/0!</v>
      </c>
      <c r="G86" s="167" t="e">
        <f t="shared" si="63"/>
        <v>#DIV/0!</v>
      </c>
      <c r="H86" s="167" t="e">
        <f t="shared" si="63"/>
        <v>#DIV/0!</v>
      </c>
      <c r="I86" s="167" t="e">
        <f t="shared" si="63"/>
        <v>#DIV/0!</v>
      </c>
      <c r="J86" s="167" t="e">
        <f t="shared" si="63"/>
        <v>#DIV/0!</v>
      </c>
      <c r="K86" s="167" t="e">
        <f t="shared" si="63"/>
        <v>#DIV/0!</v>
      </c>
      <c r="L86" s="167" t="e">
        <f t="shared" si="63"/>
        <v>#DIV/0!</v>
      </c>
      <c r="M86" s="167" t="e">
        <f t="shared" si="63"/>
        <v>#DIV/0!</v>
      </c>
      <c r="N86" s="167" t="e">
        <f t="shared" si="63"/>
        <v>#DIV/0!</v>
      </c>
      <c r="O86" s="167" t="e">
        <f t="shared" si="63"/>
        <v>#DIV/0!</v>
      </c>
      <c r="P86" s="167" t="e">
        <f t="shared" si="63"/>
        <v>#DIV/0!</v>
      </c>
      <c r="Q86" s="167" t="e">
        <f t="shared" si="63"/>
        <v>#DIV/0!</v>
      </c>
      <c r="R86" s="167" t="e">
        <f t="shared" si="63"/>
        <v>#DIV/0!</v>
      </c>
      <c r="S86" s="167" t="e">
        <f t="shared" si="63"/>
        <v>#DIV/0!</v>
      </c>
      <c r="T86" s="167" t="e">
        <f t="shared" si="63"/>
        <v>#DIV/0!</v>
      </c>
      <c r="U86" s="167" t="e">
        <f t="shared" si="63"/>
        <v>#DIV/0!</v>
      </c>
      <c r="V86" s="167" t="e">
        <f t="shared" si="63"/>
        <v>#DIV/0!</v>
      </c>
      <c r="W86" s="167" t="e">
        <f t="shared" si="63"/>
        <v>#DIV/0!</v>
      </c>
      <c r="X86" s="167" t="e">
        <f t="shared" si="63"/>
        <v>#DIV/0!</v>
      </c>
      <c r="Y86" s="167" t="e">
        <f t="shared" si="63"/>
        <v>#DIV/0!</v>
      </c>
      <c r="Z86" s="167" t="e">
        <f t="shared" si="63"/>
        <v>#DIV/0!</v>
      </c>
      <c r="AA86" s="167" t="e">
        <f t="shared" si="63"/>
        <v>#DIV/0!</v>
      </c>
      <c r="AB86" s="167" t="e">
        <f t="shared" si="63"/>
        <v>#DIV/0!</v>
      </c>
      <c r="AC86" s="167" t="e">
        <f t="shared" si="63"/>
        <v>#DIV/0!</v>
      </c>
      <c r="AD86" s="167" t="e">
        <f t="shared" si="63"/>
        <v>#DIV/0!</v>
      </c>
      <c r="AE86" s="167" t="e">
        <f t="shared" si="63"/>
        <v>#DIV/0!</v>
      </c>
      <c r="AF86" s="167" t="e">
        <f t="shared" si="63"/>
        <v>#DIV/0!</v>
      </c>
      <c r="AG86" s="167" t="e">
        <f t="shared" si="63"/>
        <v>#DIV/0!</v>
      </c>
      <c r="AH86" s="167" t="e">
        <f t="shared" si="63"/>
        <v>#DIV/0!</v>
      </c>
      <c r="AI86" s="167" t="e">
        <f t="shared" si="63"/>
        <v>#DIV/0!</v>
      </c>
      <c r="AJ86" s="168" t="e">
        <f t="shared" si="63"/>
        <v>#DIV/0!</v>
      </c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</row>
    <row r="87" spans="1:56" ht="28.8" x14ac:dyDescent="0.25">
      <c r="A87" s="141" t="s">
        <v>287</v>
      </c>
      <c r="B87" s="183"/>
      <c r="C87" s="184" t="e">
        <f t="shared" ref="C87:AJ87" si="64">C51/C85</f>
        <v>#VALUE!</v>
      </c>
      <c r="D87" s="184" t="e">
        <f t="shared" si="64"/>
        <v>#VALUE!</v>
      </c>
      <c r="E87" s="185" t="e">
        <f t="shared" si="64"/>
        <v>#DIV/0!</v>
      </c>
      <c r="F87" s="185" t="e">
        <f t="shared" si="64"/>
        <v>#DIV/0!</v>
      </c>
      <c r="G87" s="185" t="e">
        <f t="shared" si="64"/>
        <v>#DIV/0!</v>
      </c>
      <c r="H87" s="185" t="e">
        <f t="shared" si="64"/>
        <v>#DIV/0!</v>
      </c>
      <c r="I87" s="185" t="e">
        <f t="shared" si="64"/>
        <v>#DIV/0!</v>
      </c>
      <c r="J87" s="185" t="e">
        <f t="shared" si="64"/>
        <v>#DIV/0!</v>
      </c>
      <c r="K87" s="185" t="e">
        <f t="shared" si="64"/>
        <v>#DIV/0!</v>
      </c>
      <c r="L87" s="185" t="e">
        <f t="shared" si="64"/>
        <v>#DIV/0!</v>
      </c>
      <c r="M87" s="185" t="e">
        <f t="shared" si="64"/>
        <v>#DIV/0!</v>
      </c>
      <c r="N87" s="185" t="e">
        <f t="shared" si="64"/>
        <v>#DIV/0!</v>
      </c>
      <c r="O87" s="185" t="e">
        <f t="shared" si="64"/>
        <v>#DIV/0!</v>
      </c>
      <c r="P87" s="185" t="e">
        <f t="shared" si="64"/>
        <v>#DIV/0!</v>
      </c>
      <c r="Q87" s="185" t="e">
        <f t="shared" si="64"/>
        <v>#DIV/0!</v>
      </c>
      <c r="R87" s="185" t="e">
        <f t="shared" si="64"/>
        <v>#DIV/0!</v>
      </c>
      <c r="S87" s="185" t="e">
        <f t="shared" si="64"/>
        <v>#DIV/0!</v>
      </c>
      <c r="T87" s="185" t="e">
        <f t="shared" si="64"/>
        <v>#DIV/0!</v>
      </c>
      <c r="U87" s="185" t="e">
        <f t="shared" si="64"/>
        <v>#DIV/0!</v>
      </c>
      <c r="V87" s="185" t="e">
        <f t="shared" si="64"/>
        <v>#DIV/0!</v>
      </c>
      <c r="W87" s="185" t="e">
        <f t="shared" si="64"/>
        <v>#DIV/0!</v>
      </c>
      <c r="X87" s="185" t="e">
        <f t="shared" si="64"/>
        <v>#DIV/0!</v>
      </c>
      <c r="Y87" s="185" t="e">
        <f t="shared" si="64"/>
        <v>#DIV/0!</v>
      </c>
      <c r="Z87" s="185" t="e">
        <f t="shared" si="64"/>
        <v>#DIV/0!</v>
      </c>
      <c r="AA87" s="185" t="e">
        <f t="shared" si="64"/>
        <v>#DIV/0!</v>
      </c>
      <c r="AB87" s="185" t="e">
        <f t="shared" si="64"/>
        <v>#DIV/0!</v>
      </c>
      <c r="AC87" s="185" t="e">
        <f t="shared" si="64"/>
        <v>#DIV/0!</v>
      </c>
      <c r="AD87" s="185" t="e">
        <f t="shared" si="64"/>
        <v>#DIV/0!</v>
      </c>
      <c r="AE87" s="185" t="e">
        <f t="shared" si="64"/>
        <v>#DIV/0!</v>
      </c>
      <c r="AF87" s="185" t="e">
        <f t="shared" si="64"/>
        <v>#DIV/0!</v>
      </c>
      <c r="AG87" s="185" t="e">
        <f t="shared" si="64"/>
        <v>#DIV/0!</v>
      </c>
      <c r="AH87" s="185" t="e">
        <f t="shared" si="64"/>
        <v>#DIV/0!</v>
      </c>
      <c r="AI87" s="185" t="e">
        <f t="shared" si="64"/>
        <v>#DIV/0!</v>
      </c>
      <c r="AJ87" s="186" t="e">
        <f t="shared" si="64"/>
        <v>#DIV/0!</v>
      </c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</row>
    <row r="88" spans="1:56" ht="12.55" x14ac:dyDescent="0.2">
      <c r="A88" s="88"/>
      <c r="B88" s="88"/>
      <c r="C88" s="88"/>
      <c r="D88" s="124"/>
      <c r="E88" s="88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</row>
    <row r="89" spans="1:56" ht="12.55" x14ac:dyDescent="0.2">
      <c r="A89" s="88"/>
      <c r="B89" s="88"/>
      <c r="C89" s="88"/>
      <c r="D89" s="124"/>
      <c r="E89" s="88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</row>
    <row r="90" spans="1:56" ht="12.55" x14ac:dyDescent="0.2">
      <c r="A90" s="88"/>
      <c r="B90" s="88"/>
      <c r="C90" s="88"/>
      <c r="D90" s="124"/>
      <c r="E90" s="88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</row>
    <row r="91" spans="1:56" ht="12.55" x14ac:dyDescent="0.2">
      <c r="A91" s="88"/>
      <c r="B91" s="88"/>
      <c r="C91" s="88"/>
      <c r="D91" s="124"/>
      <c r="E91" s="88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</row>
    <row r="92" spans="1:56" ht="12.55" x14ac:dyDescent="0.2">
      <c r="A92" s="88"/>
      <c r="B92" s="88"/>
      <c r="C92" s="88"/>
      <c r="D92" s="124"/>
      <c r="E92" s="88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</row>
    <row r="93" spans="1:56" ht="12.55" x14ac:dyDescent="0.2">
      <c r="A93" s="88"/>
      <c r="B93" s="88"/>
      <c r="C93" s="88"/>
      <c r="D93" s="124"/>
      <c r="E93" s="155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</row>
    <row r="94" spans="1:56" ht="12.55" x14ac:dyDescent="0.2">
      <c r="A94" s="88"/>
      <c r="B94" s="88"/>
      <c r="C94" s="88"/>
      <c r="D94" s="124"/>
      <c r="E94" s="88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</row>
    <row r="95" spans="1:56" ht="12.55" x14ac:dyDescent="0.2">
      <c r="A95" s="88"/>
      <c r="B95" s="88"/>
      <c r="C95" s="88"/>
      <c r="D95" s="124"/>
      <c r="E95" s="88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</row>
    <row r="96" spans="1:56" ht="12.55" x14ac:dyDescent="0.2">
      <c r="A96" s="88"/>
      <c r="B96" s="88"/>
      <c r="C96" s="88"/>
      <c r="D96" s="124"/>
      <c r="E96" s="88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</row>
    <row r="97" spans="1:56" ht="12.55" x14ac:dyDescent="0.2">
      <c r="A97" s="88"/>
      <c r="B97" s="88"/>
      <c r="C97" s="88"/>
      <c r="D97" s="124"/>
      <c r="E97" s="88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</row>
    <row r="98" spans="1:56" ht="12.55" x14ac:dyDescent="0.2">
      <c r="A98" s="88"/>
      <c r="B98" s="88"/>
      <c r="C98" s="88"/>
      <c r="D98" s="124"/>
      <c r="E98" s="88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</row>
    <row r="99" spans="1:56" ht="12.55" x14ac:dyDescent="0.2">
      <c r="A99" s="88"/>
      <c r="B99" s="88"/>
      <c r="C99" s="88"/>
      <c r="D99" s="124"/>
      <c r="E99" s="88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</row>
    <row r="100" spans="1:56" ht="12.55" x14ac:dyDescent="0.2">
      <c r="A100" s="88"/>
      <c r="B100" s="88"/>
      <c r="C100" s="88"/>
      <c r="D100" s="124"/>
      <c r="E100" s="88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</row>
    <row r="101" spans="1:56" ht="12.55" x14ac:dyDescent="0.2">
      <c r="A101" s="88"/>
      <c r="B101" s="88"/>
      <c r="C101" s="88"/>
      <c r="D101" s="124"/>
      <c r="E101" s="88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</row>
    <row r="102" spans="1:56" ht="12.55" x14ac:dyDescent="0.2">
      <c r="A102" s="88"/>
      <c r="B102" s="88"/>
      <c r="C102" s="88"/>
      <c r="D102" s="124"/>
      <c r="E102" s="88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</row>
    <row r="103" spans="1:56" ht="12.55" x14ac:dyDescent="0.2">
      <c r="A103" s="88"/>
      <c r="B103" s="88"/>
      <c r="C103" s="88"/>
      <c r="D103" s="124"/>
      <c r="E103" s="88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</row>
    <row r="104" spans="1:56" ht="12.55" x14ac:dyDescent="0.2">
      <c r="A104" s="88"/>
      <c r="B104" s="88"/>
      <c r="C104" s="88"/>
      <c r="D104" s="124"/>
      <c r="E104" s="88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</row>
    <row r="105" spans="1:56" ht="12.55" x14ac:dyDescent="0.2">
      <c r="A105" s="88"/>
      <c r="B105" s="88"/>
      <c r="C105" s="88"/>
      <c r="D105" s="124"/>
      <c r="E105" s="88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</row>
    <row r="106" spans="1:56" ht="12.55" x14ac:dyDescent="0.2">
      <c r="A106" s="88"/>
      <c r="B106" s="88"/>
      <c r="C106" s="88"/>
      <c r="D106" s="124"/>
      <c r="E106" s="88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</row>
    <row r="107" spans="1:56" ht="12.55" x14ac:dyDescent="0.2">
      <c r="A107" s="88"/>
      <c r="B107" s="88"/>
      <c r="C107" s="88"/>
      <c r="D107" s="124"/>
      <c r="E107" s="88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</row>
    <row r="108" spans="1:56" ht="12.55" x14ac:dyDescent="0.2">
      <c r="A108" s="88"/>
      <c r="B108" s="88"/>
      <c r="C108" s="88"/>
      <c r="D108" s="124"/>
      <c r="E108" s="88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</row>
    <row r="109" spans="1:56" ht="12.55" x14ac:dyDescent="0.2">
      <c r="A109" s="88"/>
      <c r="B109" s="88"/>
      <c r="C109" s="88"/>
      <c r="D109" s="124"/>
      <c r="E109" s="88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</row>
    <row r="110" spans="1:56" ht="12.55" x14ac:dyDescent="0.2">
      <c r="A110" s="88"/>
      <c r="B110" s="88"/>
      <c r="C110" s="88"/>
      <c r="D110" s="124"/>
      <c r="E110" s="88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</row>
    <row r="111" spans="1:56" ht="12.55" x14ac:dyDescent="0.2">
      <c r="A111" s="88"/>
      <c r="B111" s="88"/>
      <c r="C111" s="88"/>
      <c r="D111" s="124"/>
      <c r="E111" s="88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</row>
    <row r="112" spans="1:56" ht="12.55" x14ac:dyDescent="0.2">
      <c r="A112" s="88"/>
      <c r="B112" s="88"/>
      <c r="C112" s="88"/>
      <c r="D112" s="124"/>
      <c r="E112" s="88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</row>
    <row r="113" spans="1:56" ht="12.55" x14ac:dyDescent="0.2">
      <c r="A113" s="88"/>
      <c r="B113" s="88"/>
      <c r="C113" s="88"/>
      <c r="D113" s="124"/>
      <c r="E113" s="88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</row>
    <row r="114" spans="1:56" ht="12.55" x14ac:dyDescent="0.2">
      <c r="A114" s="88"/>
      <c r="B114" s="88"/>
      <c r="C114" s="88"/>
      <c r="D114" s="124"/>
      <c r="E114" s="88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</row>
    <row r="115" spans="1:56" ht="12.55" x14ac:dyDescent="0.2">
      <c r="A115" s="88"/>
      <c r="B115" s="88"/>
      <c r="C115" s="88"/>
      <c r="D115" s="124"/>
      <c r="E115" s="88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</row>
    <row r="116" spans="1:56" ht="12.55" x14ac:dyDescent="0.2">
      <c r="A116" s="88"/>
      <c r="B116" s="88"/>
      <c r="C116" s="88"/>
      <c r="D116" s="124"/>
      <c r="E116" s="88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</row>
    <row r="117" spans="1:56" ht="12.55" x14ac:dyDescent="0.2">
      <c r="A117" s="88"/>
      <c r="B117" s="88"/>
      <c r="C117" s="88"/>
      <c r="D117" s="124"/>
      <c r="E117" s="88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</row>
    <row r="118" spans="1:56" ht="12.55" x14ac:dyDescent="0.2">
      <c r="A118" s="88"/>
      <c r="B118" s="88"/>
      <c r="C118" s="88"/>
      <c r="D118" s="124"/>
      <c r="E118" s="88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</row>
    <row r="119" spans="1:56" ht="12.55" x14ac:dyDescent="0.2">
      <c r="A119" s="88"/>
      <c r="B119" s="88"/>
      <c r="C119" s="88"/>
      <c r="D119" s="124"/>
      <c r="E119" s="88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</row>
    <row r="120" spans="1:56" ht="12.55" x14ac:dyDescent="0.2">
      <c r="A120" s="88"/>
      <c r="B120" s="88"/>
      <c r="C120" s="88"/>
      <c r="D120" s="124"/>
      <c r="E120" s="88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</row>
    <row r="121" spans="1:56" ht="12.55" x14ac:dyDescent="0.2">
      <c r="A121" s="88"/>
      <c r="B121" s="88"/>
      <c r="C121" s="88"/>
      <c r="D121" s="124"/>
      <c r="E121" s="88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</row>
    <row r="122" spans="1:56" ht="12.55" x14ac:dyDescent="0.2">
      <c r="A122" s="88"/>
      <c r="B122" s="88"/>
      <c r="C122" s="88"/>
      <c r="D122" s="124"/>
      <c r="E122" s="88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</row>
    <row r="123" spans="1:56" ht="12.55" x14ac:dyDescent="0.2">
      <c r="A123" s="88"/>
      <c r="B123" s="88"/>
      <c r="C123" s="88"/>
      <c r="D123" s="124"/>
      <c r="E123" s="88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</row>
    <row r="124" spans="1:56" ht="12.55" x14ac:dyDescent="0.2">
      <c r="A124" s="88"/>
      <c r="B124" s="88"/>
      <c r="C124" s="88"/>
      <c r="D124" s="124"/>
      <c r="E124" s="88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</row>
    <row r="125" spans="1:56" ht="12.55" x14ac:dyDescent="0.2">
      <c r="A125" s="88"/>
      <c r="B125" s="88"/>
      <c r="C125" s="88"/>
      <c r="D125" s="124"/>
      <c r="E125" s="88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</row>
    <row r="126" spans="1:56" ht="12.55" x14ac:dyDescent="0.2">
      <c r="A126" s="88"/>
      <c r="B126" s="88"/>
      <c r="C126" s="88"/>
      <c r="D126" s="124"/>
      <c r="E126" s="88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</row>
    <row r="127" spans="1:56" ht="12.55" x14ac:dyDescent="0.2">
      <c r="A127" s="88"/>
      <c r="B127" s="88"/>
      <c r="C127" s="88"/>
      <c r="D127" s="124"/>
      <c r="E127" s="88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</row>
    <row r="128" spans="1:56" ht="12.55" x14ac:dyDescent="0.2">
      <c r="A128" s="88"/>
      <c r="B128" s="88"/>
      <c r="C128" s="88"/>
      <c r="D128" s="124"/>
      <c r="E128" s="88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</row>
    <row r="129" spans="1:56" ht="12.55" x14ac:dyDescent="0.2">
      <c r="A129" s="88"/>
      <c r="B129" s="88"/>
      <c r="C129" s="88"/>
      <c r="D129" s="124"/>
      <c r="E129" s="88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</row>
    <row r="130" spans="1:56" ht="12.55" x14ac:dyDescent="0.2">
      <c r="A130" s="88"/>
      <c r="B130" s="88"/>
      <c r="C130" s="88"/>
      <c r="D130" s="124"/>
      <c r="E130" s="88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</row>
    <row r="131" spans="1:56" ht="12.55" x14ac:dyDescent="0.2">
      <c r="A131" s="88"/>
      <c r="B131" s="88"/>
      <c r="C131" s="88"/>
      <c r="D131" s="124"/>
      <c r="E131" s="88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</row>
    <row r="132" spans="1:56" ht="12.55" x14ac:dyDescent="0.2">
      <c r="A132" s="88"/>
      <c r="B132" s="88"/>
      <c r="C132" s="88"/>
      <c r="D132" s="124"/>
      <c r="E132" s="88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</row>
    <row r="133" spans="1:56" ht="12.55" x14ac:dyDescent="0.2">
      <c r="A133" s="88"/>
      <c r="B133" s="88"/>
      <c r="C133" s="88"/>
      <c r="D133" s="124"/>
      <c r="E133" s="88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</row>
    <row r="134" spans="1:56" ht="12.55" x14ac:dyDescent="0.2">
      <c r="A134" s="88"/>
      <c r="B134" s="88"/>
      <c r="C134" s="88"/>
      <c r="D134" s="124"/>
      <c r="E134" s="88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</row>
    <row r="135" spans="1:56" ht="12.55" x14ac:dyDescent="0.2">
      <c r="A135" s="88"/>
      <c r="B135" s="88"/>
      <c r="C135" s="88"/>
      <c r="D135" s="124"/>
      <c r="E135" s="88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</row>
    <row r="136" spans="1:56" ht="12.55" x14ac:dyDescent="0.2">
      <c r="A136" s="88"/>
      <c r="B136" s="88"/>
      <c r="C136" s="88"/>
      <c r="D136" s="124"/>
      <c r="E136" s="88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</row>
    <row r="137" spans="1:56" ht="12.55" x14ac:dyDescent="0.2">
      <c r="A137" s="88"/>
      <c r="B137" s="88"/>
      <c r="C137" s="88"/>
      <c r="D137" s="124"/>
      <c r="E137" s="88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</row>
    <row r="138" spans="1:56" ht="12.55" x14ac:dyDescent="0.2">
      <c r="A138" s="88"/>
      <c r="B138" s="88"/>
      <c r="C138" s="88"/>
      <c r="D138" s="124"/>
      <c r="E138" s="88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</row>
    <row r="139" spans="1:56" ht="12.55" x14ac:dyDescent="0.2">
      <c r="A139" s="88"/>
      <c r="B139" s="88"/>
      <c r="C139" s="88"/>
      <c r="D139" s="124"/>
      <c r="E139" s="88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</row>
    <row r="140" spans="1:56" ht="12.55" x14ac:dyDescent="0.2">
      <c r="A140" s="88"/>
      <c r="B140" s="88"/>
      <c r="C140" s="88"/>
      <c r="D140" s="124"/>
      <c r="E140" s="88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</row>
    <row r="141" spans="1:56" ht="12.55" x14ac:dyDescent="0.2">
      <c r="A141" s="88"/>
      <c r="B141" s="88"/>
      <c r="C141" s="88"/>
      <c r="D141" s="124"/>
      <c r="E141" s="88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</row>
    <row r="142" spans="1:56" ht="12.55" x14ac:dyDescent="0.2">
      <c r="A142" s="88"/>
      <c r="B142" s="88"/>
      <c r="C142" s="88"/>
      <c r="D142" s="124"/>
      <c r="E142" s="88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</row>
    <row r="143" spans="1:56" ht="12.55" x14ac:dyDescent="0.2">
      <c r="A143" s="88"/>
      <c r="B143" s="88"/>
      <c r="C143" s="88"/>
      <c r="D143" s="124"/>
      <c r="E143" s="88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</row>
    <row r="144" spans="1:56" ht="12.55" x14ac:dyDescent="0.2">
      <c r="A144" s="88"/>
      <c r="B144" s="88"/>
      <c r="C144" s="88"/>
      <c r="D144" s="124"/>
      <c r="E144" s="88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</row>
    <row r="145" spans="1:56" ht="12.55" x14ac:dyDescent="0.2">
      <c r="A145" s="88"/>
      <c r="B145" s="88"/>
      <c r="C145" s="88"/>
      <c r="D145" s="124"/>
      <c r="E145" s="88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</row>
    <row r="146" spans="1:56" ht="12.55" x14ac:dyDescent="0.2">
      <c r="A146" s="88"/>
      <c r="B146" s="88"/>
      <c r="C146" s="88"/>
      <c r="D146" s="124"/>
      <c r="E146" s="88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</row>
    <row r="147" spans="1:56" ht="12.55" x14ac:dyDescent="0.2">
      <c r="A147" s="88"/>
      <c r="B147" s="88"/>
      <c r="C147" s="88"/>
      <c r="D147" s="124"/>
      <c r="E147" s="88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</row>
    <row r="148" spans="1:56" ht="12.55" x14ac:dyDescent="0.2">
      <c r="A148" s="88"/>
      <c r="B148" s="88"/>
      <c r="C148" s="88"/>
      <c r="D148" s="124"/>
      <c r="E148" s="88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</row>
    <row r="149" spans="1:56" ht="12.55" x14ac:dyDescent="0.2">
      <c r="A149" s="88"/>
      <c r="B149" s="88"/>
      <c r="C149" s="88"/>
      <c r="D149" s="124"/>
      <c r="E149" s="88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</row>
    <row r="150" spans="1:56" ht="12.55" x14ac:dyDescent="0.2">
      <c r="A150" s="88"/>
      <c r="B150" s="88"/>
      <c r="C150" s="88"/>
      <c r="D150" s="124"/>
      <c r="E150" s="88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</row>
    <row r="151" spans="1:56" ht="12.55" x14ac:dyDescent="0.2">
      <c r="A151" s="88"/>
      <c r="B151" s="88"/>
      <c r="C151" s="88"/>
      <c r="D151" s="124"/>
      <c r="E151" s="88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</row>
    <row r="152" spans="1:56" ht="12.55" x14ac:dyDescent="0.2">
      <c r="A152" s="88"/>
      <c r="B152" s="88"/>
      <c r="C152" s="88"/>
      <c r="D152" s="124"/>
      <c r="E152" s="88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</row>
    <row r="153" spans="1:56" ht="12.55" x14ac:dyDescent="0.2">
      <c r="A153" s="88"/>
      <c r="B153" s="88"/>
      <c r="C153" s="88"/>
      <c r="D153" s="124"/>
      <c r="E153" s="88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</row>
    <row r="154" spans="1:56" ht="12.55" x14ac:dyDescent="0.2">
      <c r="A154" s="88"/>
      <c r="B154" s="88"/>
      <c r="C154" s="88"/>
      <c r="D154" s="124"/>
      <c r="E154" s="88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</row>
    <row r="155" spans="1:56" ht="12.55" x14ac:dyDescent="0.2">
      <c r="A155" s="88"/>
      <c r="B155" s="88"/>
      <c r="C155" s="88"/>
      <c r="D155" s="124"/>
      <c r="E155" s="88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</row>
    <row r="156" spans="1:56" ht="12.55" x14ac:dyDescent="0.2">
      <c r="A156" s="88"/>
      <c r="B156" s="88"/>
      <c r="C156" s="88"/>
      <c r="D156" s="124"/>
      <c r="E156" s="88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</row>
    <row r="157" spans="1:56" ht="12.55" x14ac:dyDescent="0.2">
      <c r="A157" s="88"/>
      <c r="B157" s="88"/>
      <c r="C157" s="88"/>
      <c r="D157" s="124"/>
      <c r="E157" s="88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</row>
    <row r="158" spans="1:56" ht="12.55" x14ac:dyDescent="0.2">
      <c r="A158" s="88"/>
      <c r="B158" s="88"/>
      <c r="C158" s="88"/>
      <c r="D158" s="124"/>
      <c r="E158" s="88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</row>
    <row r="159" spans="1:56" ht="12.55" x14ac:dyDescent="0.2">
      <c r="A159" s="88"/>
      <c r="B159" s="88"/>
      <c r="C159" s="88"/>
      <c r="D159" s="124"/>
      <c r="E159" s="88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</row>
    <row r="160" spans="1:56" ht="12.55" x14ac:dyDescent="0.2">
      <c r="A160" s="88"/>
      <c r="B160" s="88"/>
      <c r="C160" s="88"/>
      <c r="D160" s="124"/>
      <c r="E160" s="88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</row>
    <row r="161" spans="1:56" ht="12.55" x14ac:dyDescent="0.2">
      <c r="A161" s="88"/>
      <c r="B161" s="88"/>
      <c r="C161" s="88"/>
      <c r="D161" s="124"/>
      <c r="E161" s="88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</row>
    <row r="162" spans="1:56" ht="12.55" x14ac:dyDescent="0.2">
      <c r="A162" s="88"/>
      <c r="B162" s="88"/>
      <c r="C162" s="88"/>
      <c r="D162" s="124"/>
      <c r="E162" s="88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</row>
    <row r="163" spans="1:56" ht="12.55" x14ac:dyDescent="0.2">
      <c r="A163" s="88"/>
      <c r="B163" s="88"/>
      <c r="C163" s="88"/>
      <c r="D163" s="124"/>
      <c r="E163" s="88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</row>
    <row r="164" spans="1:56" ht="12.55" x14ac:dyDescent="0.2">
      <c r="A164" s="88"/>
      <c r="B164" s="88"/>
      <c r="C164" s="88"/>
      <c r="D164" s="124"/>
      <c r="E164" s="88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</row>
    <row r="165" spans="1:56" ht="12.55" x14ac:dyDescent="0.2">
      <c r="A165" s="88"/>
      <c r="B165" s="88"/>
      <c r="C165" s="88"/>
      <c r="D165" s="124"/>
      <c r="E165" s="88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</row>
    <row r="166" spans="1:56" ht="12.55" x14ac:dyDescent="0.2">
      <c r="A166" s="88"/>
      <c r="B166" s="88"/>
      <c r="C166" s="88"/>
      <c r="D166" s="124"/>
      <c r="E166" s="88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</row>
    <row r="167" spans="1:56" ht="12.55" x14ac:dyDescent="0.2">
      <c r="A167" s="88"/>
      <c r="B167" s="88"/>
      <c r="C167" s="88"/>
      <c r="D167" s="124"/>
      <c r="E167" s="88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</row>
    <row r="168" spans="1:56" ht="12.55" x14ac:dyDescent="0.2">
      <c r="A168" s="88"/>
      <c r="B168" s="88"/>
      <c r="C168" s="88"/>
      <c r="D168" s="124"/>
      <c r="E168" s="88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</row>
    <row r="169" spans="1:56" ht="12.55" x14ac:dyDescent="0.2">
      <c r="A169" s="88"/>
      <c r="B169" s="88"/>
      <c r="C169" s="88"/>
      <c r="D169" s="124"/>
      <c r="E169" s="88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</row>
    <row r="170" spans="1:56" ht="12.55" x14ac:dyDescent="0.2">
      <c r="A170" s="88"/>
      <c r="B170" s="88"/>
      <c r="C170" s="88"/>
      <c r="D170" s="124"/>
      <c r="E170" s="88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</row>
    <row r="171" spans="1:56" ht="12.55" x14ac:dyDescent="0.2">
      <c r="A171" s="88"/>
      <c r="B171" s="88"/>
      <c r="C171" s="88"/>
      <c r="D171" s="124"/>
      <c r="E171" s="88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</row>
    <row r="172" spans="1:56" ht="12.55" x14ac:dyDescent="0.2">
      <c r="A172" s="88"/>
      <c r="B172" s="88"/>
      <c r="C172" s="88"/>
      <c r="D172" s="124"/>
      <c r="E172" s="88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</row>
    <row r="173" spans="1:56" ht="12.55" x14ac:dyDescent="0.2">
      <c r="A173" s="88"/>
      <c r="B173" s="88"/>
      <c r="C173" s="88"/>
      <c r="D173" s="124"/>
      <c r="E173" s="88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</row>
    <row r="174" spans="1:56" ht="12.55" x14ac:dyDescent="0.2">
      <c r="A174" s="88"/>
      <c r="B174" s="88"/>
      <c r="C174" s="88"/>
      <c r="D174" s="124"/>
      <c r="E174" s="88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</row>
    <row r="175" spans="1:56" ht="12.55" x14ac:dyDescent="0.2">
      <c r="A175" s="88"/>
      <c r="B175" s="88"/>
      <c r="C175" s="88"/>
      <c r="D175" s="124"/>
      <c r="E175" s="88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</row>
    <row r="176" spans="1:56" ht="12.55" x14ac:dyDescent="0.2">
      <c r="A176" s="88"/>
      <c r="B176" s="88"/>
      <c r="C176" s="88"/>
      <c r="D176" s="124"/>
      <c r="E176" s="88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</row>
    <row r="177" spans="1:56" ht="12.55" x14ac:dyDescent="0.2">
      <c r="A177" s="88"/>
      <c r="B177" s="88"/>
      <c r="C177" s="88"/>
      <c r="D177" s="124"/>
      <c r="E177" s="88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</row>
    <row r="178" spans="1:56" ht="12.55" x14ac:dyDescent="0.2">
      <c r="A178" s="88"/>
      <c r="B178" s="88"/>
      <c r="C178" s="88"/>
      <c r="D178" s="124"/>
      <c r="E178" s="88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</row>
    <row r="179" spans="1:56" ht="12.55" x14ac:dyDescent="0.2">
      <c r="A179" s="88"/>
      <c r="B179" s="88"/>
      <c r="C179" s="88"/>
      <c r="D179" s="124"/>
      <c r="E179" s="88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</row>
    <row r="180" spans="1:56" ht="12.55" x14ac:dyDescent="0.2">
      <c r="A180" s="88"/>
      <c r="B180" s="88"/>
      <c r="C180" s="88"/>
      <c r="D180" s="124"/>
      <c r="E180" s="88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</row>
    <row r="181" spans="1:56" ht="12.55" x14ac:dyDescent="0.2">
      <c r="A181" s="88"/>
      <c r="B181" s="88"/>
      <c r="C181" s="88"/>
      <c r="D181" s="124"/>
      <c r="E181" s="88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</row>
    <row r="182" spans="1:56" ht="12.55" x14ac:dyDescent="0.2">
      <c r="A182" s="88"/>
      <c r="B182" s="88"/>
      <c r="C182" s="88"/>
      <c r="D182" s="124"/>
      <c r="E182" s="88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</row>
    <row r="183" spans="1:56" ht="12.55" x14ac:dyDescent="0.2">
      <c r="A183" s="88"/>
      <c r="B183" s="88"/>
      <c r="C183" s="88"/>
      <c r="D183" s="124"/>
      <c r="E183" s="88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</row>
    <row r="184" spans="1:56" ht="12.55" x14ac:dyDescent="0.2">
      <c r="A184" s="88"/>
      <c r="B184" s="88"/>
      <c r="C184" s="88"/>
      <c r="D184" s="124"/>
      <c r="E184" s="88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</row>
    <row r="185" spans="1:56" ht="12.55" x14ac:dyDescent="0.2">
      <c r="A185" s="88"/>
      <c r="B185" s="88"/>
      <c r="C185" s="88"/>
      <c r="D185" s="124"/>
      <c r="E185" s="88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</row>
    <row r="186" spans="1:56" ht="12.55" x14ac:dyDescent="0.2">
      <c r="A186" s="88"/>
      <c r="B186" s="88"/>
      <c r="C186" s="88"/>
      <c r="D186" s="124"/>
      <c r="E186" s="88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</row>
    <row r="187" spans="1:56" ht="12.55" x14ac:dyDescent="0.2">
      <c r="A187" s="88"/>
      <c r="B187" s="88"/>
      <c r="C187" s="88"/>
      <c r="D187" s="124"/>
      <c r="E187" s="88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</row>
    <row r="188" spans="1:56" ht="12.55" x14ac:dyDescent="0.2">
      <c r="A188" s="88"/>
      <c r="B188" s="88"/>
      <c r="C188" s="88"/>
      <c r="D188" s="124"/>
      <c r="E188" s="88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</row>
    <row r="189" spans="1:56" ht="12.55" x14ac:dyDescent="0.2">
      <c r="A189" s="88"/>
      <c r="B189" s="88"/>
      <c r="C189" s="88"/>
      <c r="D189" s="124"/>
      <c r="E189" s="88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</row>
    <row r="190" spans="1:56" ht="12.55" x14ac:dyDescent="0.2">
      <c r="A190" s="88"/>
      <c r="B190" s="88"/>
      <c r="C190" s="88"/>
      <c r="D190" s="124"/>
      <c r="E190" s="88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</row>
    <row r="191" spans="1:56" ht="12.55" x14ac:dyDescent="0.2">
      <c r="A191" s="88"/>
      <c r="B191" s="88"/>
      <c r="C191" s="88"/>
      <c r="D191" s="124"/>
      <c r="E191" s="88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</row>
    <row r="192" spans="1:56" ht="12.55" x14ac:dyDescent="0.2">
      <c r="A192" s="88"/>
      <c r="B192" s="88"/>
      <c r="C192" s="88"/>
      <c r="D192" s="124"/>
      <c r="E192" s="88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</row>
    <row r="193" spans="1:56" ht="12.55" x14ac:dyDescent="0.2">
      <c r="A193" s="88"/>
      <c r="B193" s="88"/>
      <c r="C193" s="88"/>
      <c r="D193" s="124"/>
      <c r="E193" s="88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</row>
    <row r="194" spans="1:56" ht="12.55" x14ac:dyDescent="0.2">
      <c r="A194" s="88"/>
      <c r="B194" s="88"/>
      <c r="C194" s="88"/>
      <c r="D194" s="124"/>
      <c r="E194" s="88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</row>
    <row r="195" spans="1:56" ht="12.55" x14ac:dyDescent="0.2">
      <c r="A195" s="88"/>
      <c r="B195" s="88"/>
      <c r="C195" s="88"/>
      <c r="D195" s="124"/>
      <c r="E195" s="88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</row>
    <row r="196" spans="1:56" ht="12.55" x14ac:dyDescent="0.2">
      <c r="A196" s="88"/>
      <c r="B196" s="88"/>
      <c r="C196" s="88"/>
      <c r="D196" s="124"/>
      <c r="E196" s="88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</row>
    <row r="197" spans="1:56" ht="12.55" x14ac:dyDescent="0.2">
      <c r="A197" s="88"/>
      <c r="B197" s="88"/>
      <c r="C197" s="88"/>
      <c r="D197" s="124"/>
      <c r="E197" s="88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</row>
    <row r="198" spans="1:56" ht="12.55" x14ac:dyDescent="0.2">
      <c r="A198" s="88"/>
      <c r="B198" s="88"/>
      <c r="C198" s="88"/>
      <c r="D198" s="124"/>
      <c r="E198" s="88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</row>
    <row r="199" spans="1:56" ht="12.55" x14ac:dyDescent="0.2">
      <c r="A199" s="88"/>
      <c r="B199" s="88"/>
      <c r="C199" s="88"/>
      <c r="D199" s="124"/>
      <c r="E199" s="88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</row>
    <row r="200" spans="1:56" ht="12.55" x14ac:dyDescent="0.2">
      <c r="A200" s="88"/>
      <c r="B200" s="88"/>
      <c r="C200" s="88"/>
      <c r="D200" s="124"/>
      <c r="E200" s="88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</row>
    <row r="201" spans="1:56" ht="12.55" x14ac:dyDescent="0.2">
      <c r="A201" s="88"/>
      <c r="B201" s="88"/>
      <c r="C201" s="88"/>
      <c r="D201" s="124"/>
      <c r="E201" s="88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  <c r="BA201" s="88"/>
      <c r="BB201" s="88"/>
      <c r="BC201" s="88"/>
      <c r="BD201" s="88"/>
    </row>
    <row r="202" spans="1:56" ht="12.55" x14ac:dyDescent="0.2">
      <c r="A202" s="88"/>
      <c r="B202" s="88"/>
      <c r="C202" s="88"/>
      <c r="D202" s="124"/>
      <c r="E202" s="88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  <c r="BC202" s="88"/>
      <c r="BD202" s="88"/>
    </row>
    <row r="203" spans="1:56" ht="12.55" x14ac:dyDescent="0.2">
      <c r="A203" s="88"/>
      <c r="B203" s="88"/>
      <c r="C203" s="88"/>
      <c r="D203" s="124"/>
      <c r="E203" s="88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  <c r="BA203" s="88"/>
      <c r="BB203" s="88"/>
      <c r="BC203" s="88"/>
      <c r="BD203" s="88"/>
    </row>
    <row r="204" spans="1:56" ht="12.55" x14ac:dyDescent="0.2">
      <c r="A204" s="88"/>
      <c r="B204" s="88"/>
      <c r="C204" s="88"/>
      <c r="D204" s="124"/>
      <c r="E204" s="88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88"/>
      <c r="BB204" s="88"/>
      <c r="BC204" s="88"/>
      <c r="BD204" s="88"/>
    </row>
    <row r="205" spans="1:56" ht="12.55" x14ac:dyDescent="0.2">
      <c r="A205" s="88"/>
      <c r="B205" s="88"/>
      <c r="C205" s="88"/>
      <c r="D205" s="124"/>
      <c r="E205" s="88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  <c r="BA205" s="88"/>
      <c r="BB205" s="88"/>
      <c r="BC205" s="88"/>
      <c r="BD205" s="88"/>
    </row>
    <row r="206" spans="1:56" ht="12.55" x14ac:dyDescent="0.2">
      <c r="A206" s="88"/>
      <c r="B206" s="88"/>
      <c r="C206" s="88"/>
      <c r="D206" s="124"/>
      <c r="E206" s="88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</row>
    <row r="207" spans="1:56" ht="12.55" x14ac:dyDescent="0.2">
      <c r="A207" s="88"/>
      <c r="B207" s="88"/>
      <c r="C207" s="88"/>
      <c r="D207" s="124"/>
      <c r="E207" s="88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  <c r="BC207" s="88"/>
      <c r="BD207" s="88"/>
    </row>
    <row r="208" spans="1:56" ht="12.55" x14ac:dyDescent="0.2">
      <c r="A208" s="88"/>
      <c r="B208" s="88"/>
      <c r="C208" s="88"/>
      <c r="D208" s="124"/>
      <c r="E208" s="88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  <c r="BA208" s="88"/>
      <c r="BB208" s="88"/>
      <c r="BC208" s="88"/>
      <c r="BD208" s="88"/>
    </row>
    <row r="209" spans="1:56" ht="12.55" x14ac:dyDescent="0.2">
      <c r="A209" s="88"/>
      <c r="B209" s="88"/>
      <c r="C209" s="88"/>
      <c r="D209" s="124"/>
      <c r="E209" s="88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  <c r="BA209" s="88"/>
      <c r="BB209" s="88"/>
      <c r="BC209" s="88"/>
      <c r="BD209" s="88"/>
    </row>
    <row r="210" spans="1:56" ht="12.55" x14ac:dyDescent="0.2">
      <c r="A210" s="88"/>
      <c r="B210" s="88"/>
      <c r="C210" s="88"/>
      <c r="D210" s="124"/>
      <c r="E210" s="88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</row>
    <row r="211" spans="1:56" ht="12.55" x14ac:dyDescent="0.2">
      <c r="A211" s="88"/>
      <c r="B211" s="88"/>
      <c r="C211" s="88"/>
      <c r="D211" s="124"/>
      <c r="E211" s="88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</row>
    <row r="212" spans="1:56" ht="12.55" x14ac:dyDescent="0.2">
      <c r="A212" s="88"/>
      <c r="B212" s="88"/>
      <c r="C212" s="88"/>
      <c r="D212" s="124"/>
      <c r="E212" s="88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  <c r="BC212" s="88"/>
      <c r="BD212" s="88"/>
    </row>
    <row r="213" spans="1:56" ht="12.55" x14ac:dyDescent="0.2">
      <c r="A213" s="88"/>
      <c r="B213" s="88"/>
      <c r="C213" s="88"/>
      <c r="D213" s="124"/>
      <c r="E213" s="88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  <c r="BA213" s="88"/>
      <c r="BB213" s="88"/>
      <c r="BC213" s="88"/>
      <c r="BD213" s="88"/>
    </row>
    <row r="214" spans="1:56" ht="12.55" x14ac:dyDescent="0.2">
      <c r="A214" s="88"/>
      <c r="B214" s="88"/>
      <c r="C214" s="88"/>
      <c r="D214" s="124"/>
      <c r="E214" s="88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  <c r="BC214" s="88"/>
      <c r="BD214" s="88"/>
    </row>
    <row r="215" spans="1:56" ht="12.55" x14ac:dyDescent="0.2">
      <c r="A215" s="88"/>
      <c r="B215" s="88"/>
      <c r="C215" s="88"/>
      <c r="D215" s="124"/>
      <c r="E215" s="88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  <c r="BA215" s="88"/>
      <c r="BB215" s="88"/>
      <c r="BC215" s="88"/>
      <c r="BD215" s="88"/>
    </row>
    <row r="216" spans="1:56" ht="12.55" x14ac:dyDescent="0.2">
      <c r="A216" s="88"/>
      <c r="B216" s="88"/>
      <c r="C216" s="88"/>
      <c r="D216" s="124"/>
      <c r="E216" s="88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  <c r="BC216" s="88"/>
      <c r="BD216" s="88"/>
    </row>
    <row r="217" spans="1:56" ht="12.55" x14ac:dyDescent="0.2">
      <c r="A217" s="88"/>
      <c r="B217" s="88"/>
      <c r="C217" s="88"/>
      <c r="D217" s="124"/>
      <c r="E217" s="88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  <c r="BA217" s="88"/>
      <c r="BB217" s="88"/>
      <c r="BC217" s="88"/>
      <c r="BD217" s="88"/>
    </row>
    <row r="218" spans="1:56" ht="12.55" x14ac:dyDescent="0.2">
      <c r="A218" s="88"/>
      <c r="B218" s="88"/>
      <c r="C218" s="88"/>
      <c r="D218" s="124"/>
      <c r="E218" s="88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  <c r="BA218" s="88"/>
      <c r="BB218" s="88"/>
      <c r="BC218" s="88"/>
      <c r="BD218" s="88"/>
    </row>
    <row r="219" spans="1:56" ht="12.55" x14ac:dyDescent="0.2">
      <c r="A219" s="88"/>
      <c r="B219" s="88"/>
      <c r="C219" s="88"/>
      <c r="D219" s="124"/>
      <c r="E219" s="88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  <c r="BA219" s="88"/>
      <c r="BB219" s="88"/>
      <c r="BC219" s="88"/>
      <c r="BD219" s="88"/>
    </row>
    <row r="220" spans="1:56" ht="12.55" x14ac:dyDescent="0.2">
      <c r="A220" s="88"/>
      <c r="B220" s="88"/>
      <c r="C220" s="88"/>
      <c r="D220" s="124"/>
      <c r="E220" s="88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  <c r="BA220" s="88"/>
      <c r="BB220" s="88"/>
      <c r="BC220" s="88"/>
      <c r="BD220" s="88"/>
    </row>
    <row r="221" spans="1:56" ht="12.55" x14ac:dyDescent="0.2">
      <c r="A221" s="88"/>
      <c r="B221" s="88"/>
      <c r="C221" s="88"/>
      <c r="D221" s="124"/>
      <c r="E221" s="88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88"/>
      <c r="BC221" s="88"/>
      <c r="BD221" s="88"/>
    </row>
    <row r="222" spans="1:56" ht="12.55" x14ac:dyDescent="0.2">
      <c r="A222" s="88"/>
      <c r="B222" s="88"/>
      <c r="C222" s="88"/>
      <c r="D222" s="124"/>
      <c r="E222" s="88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  <c r="BC222" s="88"/>
      <c r="BD222" s="88"/>
    </row>
    <row r="223" spans="1:56" ht="12.55" x14ac:dyDescent="0.2">
      <c r="A223" s="88"/>
      <c r="B223" s="88"/>
      <c r="C223" s="88"/>
      <c r="D223" s="124"/>
      <c r="E223" s="88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  <c r="BA223" s="88"/>
      <c r="BB223" s="88"/>
      <c r="BC223" s="88"/>
      <c r="BD223" s="88"/>
    </row>
    <row r="224" spans="1:56" ht="12.55" x14ac:dyDescent="0.2">
      <c r="A224" s="88"/>
      <c r="B224" s="88"/>
      <c r="C224" s="88"/>
      <c r="D224" s="124"/>
      <c r="E224" s="88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8"/>
      <c r="AV224" s="88"/>
      <c r="AW224" s="88"/>
      <c r="AX224" s="88"/>
      <c r="AY224" s="88"/>
      <c r="AZ224" s="88"/>
      <c r="BA224" s="88"/>
      <c r="BB224" s="88"/>
      <c r="BC224" s="88"/>
      <c r="BD224" s="88"/>
    </row>
    <row r="225" spans="1:56" ht="12.55" x14ac:dyDescent="0.2">
      <c r="A225" s="88"/>
      <c r="B225" s="88"/>
      <c r="C225" s="88"/>
      <c r="D225" s="124"/>
      <c r="E225" s="88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</row>
    <row r="226" spans="1:56" ht="12.55" x14ac:dyDescent="0.2">
      <c r="A226" s="88"/>
      <c r="B226" s="88"/>
      <c r="C226" s="88"/>
      <c r="D226" s="124"/>
      <c r="E226" s="88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  <c r="BA226" s="88"/>
      <c r="BB226" s="88"/>
      <c r="BC226" s="88"/>
      <c r="BD226" s="88"/>
    </row>
    <row r="227" spans="1:56" ht="12.55" x14ac:dyDescent="0.2">
      <c r="A227" s="88"/>
      <c r="B227" s="88"/>
      <c r="C227" s="88"/>
      <c r="D227" s="124"/>
      <c r="E227" s="88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88"/>
      <c r="BB227" s="88"/>
      <c r="BC227" s="88"/>
      <c r="BD227" s="88"/>
    </row>
    <row r="228" spans="1:56" ht="12.55" x14ac:dyDescent="0.2">
      <c r="A228" s="88"/>
      <c r="B228" s="88"/>
      <c r="C228" s="88"/>
      <c r="D228" s="124"/>
      <c r="E228" s="88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</row>
    <row r="229" spans="1:56" ht="12.55" x14ac:dyDescent="0.2">
      <c r="A229" s="88"/>
      <c r="B229" s="88"/>
      <c r="C229" s="88"/>
      <c r="D229" s="124"/>
      <c r="E229" s="88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  <c r="BC229" s="88"/>
      <c r="BD229" s="88"/>
    </row>
    <row r="230" spans="1:56" ht="12.55" x14ac:dyDescent="0.2">
      <c r="A230" s="88"/>
      <c r="B230" s="88"/>
      <c r="C230" s="88"/>
      <c r="D230" s="124"/>
      <c r="E230" s="88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88"/>
      <c r="BB230" s="88"/>
      <c r="BC230" s="88"/>
      <c r="BD230" s="88"/>
    </row>
    <row r="231" spans="1:56" ht="12.55" x14ac:dyDescent="0.2">
      <c r="A231" s="88"/>
      <c r="B231" s="88"/>
      <c r="C231" s="88"/>
      <c r="D231" s="124"/>
      <c r="E231" s="88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88"/>
    </row>
    <row r="232" spans="1:56" ht="12.55" x14ac:dyDescent="0.2">
      <c r="A232" s="88"/>
      <c r="B232" s="88"/>
      <c r="C232" s="88"/>
      <c r="D232" s="124"/>
      <c r="E232" s="88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</row>
    <row r="233" spans="1:56" ht="12.55" x14ac:dyDescent="0.2">
      <c r="A233" s="88"/>
      <c r="B233" s="88"/>
      <c r="C233" s="88"/>
      <c r="D233" s="124"/>
      <c r="E233" s="88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  <c r="BC233" s="88"/>
      <c r="BD233" s="88"/>
    </row>
    <row r="234" spans="1:56" ht="12.55" x14ac:dyDescent="0.2">
      <c r="A234" s="88"/>
      <c r="B234" s="88"/>
      <c r="C234" s="88"/>
      <c r="D234" s="124"/>
      <c r="E234" s="88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  <c r="BA234" s="88"/>
      <c r="BB234" s="88"/>
      <c r="BC234" s="88"/>
      <c r="BD234" s="88"/>
    </row>
    <row r="235" spans="1:56" ht="12.55" x14ac:dyDescent="0.2">
      <c r="A235" s="88"/>
      <c r="B235" s="88"/>
      <c r="C235" s="88"/>
      <c r="D235" s="124"/>
      <c r="E235" s="88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  <c r="BA235" s="88"/>
      <c r="BB235" s="88"/>
      <c r="BC235" s="88"/>
      <c r="BD235" s="88"/>
    </row>
    <row r="236" spans="1:56" ht="12.55" x14ac:dyDescent="0.2">
      <c r="A236" s="88"/>
      <c r="B236" s="88"/>
      <c r="C236" s="88"/>
      <c r="D236" s="124"/>
      <c r="E236" s="88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  <c r="BA236" s="88"/>
      <c r="BB236" s="88"/>
      <c r="BC236" s="88"/>
      <c r="BD236" s="88"/>
    </row>
    <row r="237" spans="1:56" ht="12.55" x14ac:dyDescent="0.2">
      <c r="A237" s="88"/>
      <c r="B237" s="88"/>
      <c r="C237" s="88"/>
      <c r="D237" s="124"/>
      <c r="E237" s="88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  <c r="BC237" s="88"/>
      <c r="BD237" s="88"/>
    </row>
    <row r="238" spans="1:56" ht="12.55" x14ac:dyDescent="0.2">
      <c r="A238" s="88"/>
      <c r="B238" s="88"/>
      <c r="C238" s="88"/>
      <c r="D238" s="124"/>
      <c r="E238" s="88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  <c r="BA238" s="88"/>
      <c r="BB238" s="88"/>
      <c r="BC238" s="88"/>
      <c r="BD238" s="88"/>
    </row>
    <row r="239" spans="1:56" ht="12.55" x14ac:dyDescent="0.2">
      <c r="A239" s="88"/>
      <c r="B239" s="88"/>
      <c r="C239" s="88"/>
      <c r="D239" s="124"/>
      <c r="E239" s="88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  <c r="BA239" s="88"/>
      <c r="BB239" s="88"/>
      <c r="BC239" s="88"/>
      <c r="BD239" s="88"/>
    </row>
    <row r="240" spans="1:56" ht="12.55" x14ac:dyDescent="0.2">
      <c r="A240" s="88"/>
      <c r="B240" s="88"/>
      <c r="C240" s="88"/>
      <c r="D240" s="124"/>
      <c r="E240" s="88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/>
      <c r="BB240" s="88"/>
      <c r="BC240" s="88"/>
      <c r="BD240" s="88"/>
    </row>
    <row r="241" spans="1:56" ht="12.55" x14ac:dyDescent="0.2">
      <c r="A241" s="88"/>
      <c r="B241" s="88"/>
      <c r="C241" s="88"/>
      <c r="D241" s="124"/>
      <c r="E241" s="88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  <c r="BA241" s="88"/>
      <c r="BB241" s="88"/>
      <c r="BC241" s="88"/>
      <c r="BD241" s="88"/>
    </row>
    <row r="242" spans="1:56" ht="12.55" x14ac:dyDescent="0.2">
      <c r="A242" s="88"/>
      <c r="B242" s="88"/>
      <c r="C242" s="88"/>
      <c r="D242" s="124"/>
      <c r="E242" s="88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88"/>
      <c r="AL242" s="88"/>
      <c r="AM242" s="88"/>
      <c r="AN242" s="88"/>
      <c r="AO242" s="88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  <c r="BA242" s="88"/>
      <c r="BB242" s="88"/>
      <c r="BC242" s="88"/>
      <c r="BD242" s="88"/>
    </row>
    <row r="243" spans="1:56" ht="12.55" x14ac:dyDescent="0.2">
      <c r="A243" s="88"/>
      <c r="B243" s="88"/>
      <c r="C243" s="88"/>
      <c r="D243" s="124"/>
      <c r="E243" s="88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/>
      <c r="BB243" s="88"/>
      <c r="BC243" s="88"/>
      <c r="BD243" s="88"/>
    </row>
    <row r="244" spans="1:56" ht="12.55" x14ac:dyDescent="0.2">
      <c r="A244" s="88"/>
      <c r="B244" s="88"/>
      <c r="C244" s="88"/>
      <c r="D244" s="124"/>
      <c r="E244" s="88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88"/>
      <c r="AL244" s="88"/>
      <c r="AM244" s="88"/>
      <c r="AN244" s="88"/>
      <c r="AO244" s="88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  <c r="BA244" s="88"/>
      <c r="BB244" s="88"/>
      <c r="BC244" s="88"/>
      <c r="BD244" s="88"/>
    </row>
    <row r="245" spans="1:56" ht="12.55" x14ac:dyDescent="0.2">
      <c r="A245" s="88"/>
      <c r="B245" s="88"/>
      <c r="C245" s="88"/>
      <c r="D245" s="124"/>
      <c r="E245" s="88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88"/>
      <c r="AL245" s="88"/>
      <c r="AM245" s="88"/>
      <c r="AN245" s="88"/>
      <c r="AO245" s="88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  <c r="BA245" s="88"/>
      <c r="BB245" s="88"/>
      <c r="BC245" s="88"/>
      <c r="BD245" s="88"/>
    </row>
    <row r="246" spans="1:56" ht="12.55" x14ac:dyDescent="0.2">
      <c r="A246" s="88"/>
      <c r="B246" s="88"/>
      <c r="C246" s="88"/>
      <c r="D246" s="124"/>
      <c r="E246" s="88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88"/>
      <c r="AL246" s="88"/>
      <c r="AM246" s="8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  <c r="BA246" s="88"/>
      <c r="BB246" s="88"/>
      <c r="BC246" s="88"/>
      <c r="BD246" s="88"/>
    </row>
    <row r="247" spans="1:56" ht="12.55" x14ac:dyDescent="0.2">
      <c r="A247" s="88"/>
      <c r="B247" s="88"/>
      <c r="C247" s="88"/>
      <c r="D247" s="124"/>
      <c r="E247" s="88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88"/>
      <c r="AL247" s="88"/>
      <c r="AM247" s="88"/>
      <c r="AN247" s="88"/>
      <c r="AO247" s="88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  <c r="BA247" s="88"/>
      <c r="BB247" s="88"/>
      <c r="BC247" s="88"/>
      <c r="BD247" s="88"/>
    </row>
    <row r="248" spans="1:56" ht="12.55" x14ac:dyDescent="0.2">
      <c r="A248" s="88"/>
      <c r="B248" s="88"/>
      <c r="C248" s="88"/>
      <c r="D248" s="124"/>
      <c r="E248" s="88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88"/>
      <c r="AL248" s="8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  <c r="BA248" s="88"/>
      <c r="BB248" s="88"/>
      <c r="BC248" s="88"/>
      <c r="BD248" s="88"/>
    </row>
    <row r="249" spans="1:56" ht="12.55" x14ac:dyDescent="0.2">
      <c r="A249" s="88"/>
      <c r="B249" s="88"/>
      <c r="C249" s="88"/>
      <c r="D249" s="124"/>
      <c r="E249" s="88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88"/>
      <c r="AL249" s="88"/>
      <c r="AM249" s="88"/>
      <c r="AN249" s="88"/>
      <c r="AO249" s="88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  <c r="BA249" s="88"/>
      <c r="BB249" s="88"/>
      <c r="BC249" s="88"/>
      <c r="BD249" s="88"/>
    </row>
    <row r="250" spans="1:56" ht="12.55" x14ac:dyDescent="0.2">
      <c r="A250" s="88"/>
      <c r="B250" s="88"/>
      <c r="C250" s="88"/>
      <c r="D250" s="124"/>
      <c r="E250" s="88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88"/>
      <c r="AL250" s="88"/>
      <c r="AM250" s="88"/>
      <c r="AN250" s="88"/>
      <c r="AO250" s="88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  <c r="BA250" s="88"/>
      <c r="BB250" s="88"/>
      <c r="BC250" s="88"/>
      <c r="BD250" s="88"/>
    </row>
    <row r="251" spans="1:56" ht="12.55" x14ac:dyDescent="0.2">
      <c r="A251" s="88"/>
      <c r="B251" s="88"/>
      <c r="C251" s="88"/>
      <c r="D251" s="124"/>
      <c r="E251" s="88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88"/>
      <c r="AL251" s="88"/>
      <c r="AM251" s="88"/>
      <c r="AN251" s="88"/>
      <c r="AO251" s="88"/>
      <c r="AP251" s="88"/>
      <c r="AQ251" s="88"/>
      <c r="AR251" s="88"/>
      <c r="AS251" s="88"/>
      <c r="AT251" s="88"/>
      <c r="AU251" s="88"/>
      <c r="AV251" s="88"/>
      <c r="AW251" s="88"/>
      <c r="AX251" s="88"/>
      <c r="AY251" s="88"/>
      <c r="AZ251" s="88"/>
      <c r="BA251" s="88"/>
      <c r="BB251" s="88"/>
      <c r="BC251" s="88"/>
      <c r="BD251" s="88"/>
    </row>
    <row r="252" spans="1:56" ht="12.55" x14ac:dyDescent="0.2">
      <c r="A252" s="88"/>
      <c r="B252" s="88"/>
      <c r="C252" s="88"/>
      <c r="D252" s="124"/>
      <c r="E252" s="88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88"/>
      <c r="AL252" s="88"/>
      <c r="AM252" s="88"/>
      <c r="AN252" s="88"/>
      <c r="AO252" s="88"/>
      <c r="AP252" s="88"/>
      <c r="AQ252" s="88"/>
      <c r="AR252" s="88"/>
      <c r="AS252" s="88"/>
      <c r="AT252" s="88"/>
      <c r="AU252" s="88"/>
      <c r="AV252" s="88"/>
      <c r="AW252" s="88"/>
      <c r="AX252" s="88"/>
      <c r="AY252" s="88"/>
      <c r="AZ252" s="88"/>
      <c r="BA252" s="88"/>
      <c r="BB252" s="88"/>
      <c r="BC252" s="88"/>
      <c r="BD252" s="88"/>
    </row>
    <row r="253" spans="1:56" ht="12.55" x14ac:dyDescent="0.2">
      <c r="A253" s="88"/>
      <c r="B253" s="88"/>
      <c r="C253" s="88"/>
      <c r="D253" s="124"/>
      <c r="E253" s="88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88"/>
      <c r="AW253" s="88"/>
      <c r="AX253" s="88"/>
      <c r="AY253" s="88"/>
      <c r="AZ253" s="88"/>
      <c r="BA253" s="88"/>
      <c r="BB253" s="88"/>
      <c r="BC253" s="88"/>
      <c r="BD253" s="88"/>
    </row>
    <row r="254" spans="1:56" ht="12.55" x14ac:dyDescent="0.2">
      <c r="A254" s="88"/>
      <c r="B254" s="88"/>
      <c r="C254" s="88"/>
      <c r="D254" s="124"/>
      <c r="E254" s="88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88"/>
      <c r="AV254" s="88"/>
      <c r="AW254" s="88"/>
      <c r="AX254" s="88"/>
      <c r="AY254" s="88"/>
      <c r="AZ254" s="88"/>
      <c r="BA254" s="88"/>
      <c r="BB254" s="88"/>
      <c r="BC254" s="88"/>
      <c r="BD254" s="88"/>
    </row>
    <row r="255" spans="1:56" ht="12.55" x14ac:dyDescent="0.2">
      <c r="A255" s="88"/>
      <c r="B255" s="88"/>
      <c r="C255" s="88"/>
      <c r="D255" s="124"/>
      <c r="E255" s="88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88"/>
      <c r="AL255" s="88"/>
      <c r="AM255" s="88"/>
      <c r="AN255" s="88"/>
      <c r="AO255" s="88"/>
      <c r="AP255" s="88"/>
      <c r="AQ255" s="88"/>
      <c r="AR255" s="88"/>
      <c r="AS255" s="88"/>
      <c r="AT255" s="88"/>
      <c r="AU255" s="88"/>
      <c r="AV255" s="88"/>
      <c r="AW255" s="88"/>
      <c r="AX255" s="88"/>
      <c r="AY255" s="88"/>
      <c r="AZ255" s="88"/>
      <c r="BA255" s="88"/>
      <c r="BB255" s="88"/>
      <c r="BC255" s="88"/>
      <c r="BD255" s="88"/>
    </row>
    <row r="256" spans="1:56" ht="12.55" x14ac:dyDescent="0.2">
      <c r="A256" s="88"/>
      <c r="B256" s="88"/>
      <c r="C256" s="88"/>
      <c r="D256" s="124"/>
      <c r="E256" s="88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88"/>
      <c r="AW256" s="88"/>
      <c r="AX256" s="88"/>
      <c r="AY256" s="88"/>
      <c r="AZ256" s="88"/>
      <c r="BA256" s="88"/>
      <c r="BB256" s="88"/>
      <c r="BC256" s="88"/>
      <c r="BD256" s="88"/>
    </row>
    <row r="257" spans="1:56" ht="12.55" x14ac:dyDescent="0.2">
      <c r="A257" s="88"/>
      <c r="B257" s="88"/>
      <c r="C257" s="88"/>
      <c r="D257" s="124"/>
      <c r="E257" s="88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/>
      <c r="BB257" s="88"/>
      <c r="BC257" s="88"/>
      <c r="BD257" s="88"/>
    </row>
    <row r="258" spans="1:56" ht="12.55" x14ac:dyDescent="0.2">
      <c r="A258" s="88"/>
      <c r="B258" s="88"/>
      <c r="C258" s="88"/>
      <c r="D258" s="124"/>
      <c r="E258" s="88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  <c r="BA258" s="88"/>
      <c r="BB258" s="88"/>
      <c r="BC258" s="88"/>
      <c r="BD258" s="88"/>
    </row>
    <row r="259" spans="1:56" ht="12.55" x14ac:dyDescent="0.2">
      <c r="A259" s="88"/>
      <c r="B259" s="88"/>
      <c r="C259" s="88"/>
      <c r="D259" s="124"/>
      <c r="E259" s="88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</row>
    <row r="260" spans="1:56" ht="12.55" x14ac:dyDescent="0.2">
      <c r="A260" s="88"/>
      <c r="B260" s="88"/>
      <c r="C260" s="88"/>
      <c r="D260" s="124"/>
      <c r="E260" s="88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88"/>
      <c r="AL260" s="88"/>
      <c r="AM260" s="88"/>
      <c r="AN260" s="88"/>
      <c r="AO260" s="88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  <c r="BA260" s="88"/>
      <c r="BB260" s="88"/>
      <c r="BC260" s="88"/>
      <c r="BD260" s="88"/>
    </row>
    <row r="261" spans="1:56" ht="12.55" x14ac:dyDescent="0.2">
      <c r="A261" s="88"/>
      <c r="B261" s="88"/>
      <c r="C261" s="88"/>
      <c r="D261" s="124"/>
      <c r="E261" s="88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88"/>
      <c r="AL261" s="88"/>
      <c r="AM261" s="88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/>
      <c r="BB261" s="88"/>
      <c r="BC261" s="88"/>
      <c r="BD261" s="88"/>
    </row>
    <row r="262" spans="1:56" ht="12.55" x14ac:dyDescent="0.2">
      <c r="A262" s="88"/>
      <c r="B262" s="88"/>
      <c r="C262" s="88"/>
      <c r="D262" s="124"/>
      <c r="E262" s="88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  <c r="BC262" s="88"/>
      <c r="BD262" s="88"/>
    </row>
    <row r="263" spans="1:56" ht="12.55" x14ac:dyDescent="0.2">
      <c r="A263" s="88"/>
      <c r="B263" s="88"/>
      <c r="C263" s="88"/>
      <c r="D263" s="124"/>
      <c r="E263" s="88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88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/>
      <c r="BB263" s="88"/>
      <c r="BC263" s="88"/>
      <c r="BD263" s="88"/>
    </row>
    <row r="264" spans="1:56" ht="12.55" x14ac:dyDescent="0.2">
      <c r="A264" s="88"/>
      <c r="B264" s="88"/>
      <c r="C264" s="88"/>
      <c r="D264" s="124"/>
      <c r="E264" s="88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/>
      <c r="BB264" s="88"/>
      <c r="BC264" s="88"/>
      <c r="BD264" s="88"/>
    </row>
    <row r="265" spans="1:56" ht="12.55" x14ac:dyDescent="0.2">
      <c r="A265" s="88"/>
      <c r="B265" s="88"/>
      <c r="C265" s="88"/>
      <c r="D265" s="124"/>
      <c r="E265" s="88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/>
      <c r="BB265" s="88"/>
      <c r="BC265" s="88"/>
      <c r="BD265" s="88"/>
    </row>
    <row r="266" spans="1:56" ht="12.55" x14ac:dyDescent="0.2">
      <c r="A266" s="88"/>
      <c r="B266" s="88"/>
      <c r="C266" s="88"/>
      <c r="D266" s="124"/>
      <c r="E266" s="88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88"/>
      <c r="AL266" s="88"/>
      <c r="AM266" s="88"/>
      <c r="AN266" s="88"/>
      <c r="AO266" s="88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  <c r="BA266" s="88"/>
      <c r="BB266" s="88"/>
      <c r="BC266" s="88"/>
      <c r="BD266" s="88"/>
    </row>
    <row r="267" spans="1:56" ht="12.55" x14ac:dyDescent="0.2">
      <c r="A267" s="88"/>
      <c r="B267" s="88"/>
      <c r="C267" s="88"/>
      <c r="D267" s="124"/>
      <c r="E267" s="88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88"/>
      <c r="AL267" s="88"/>
      <c r="AM267" s="88"/>
      <c r="AN267" s="88"/>
      <c r="AO267" s="88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  <c r="BA267" s="88"/>
      <c r="BB267" s="88"/>
      <c r="BC267" s="88"/>
      <c r="BD267" s="88"/>
    </row>
    <row r="268" spans="1:56" ht="12.55" x14ac:dyDescent="0.2">
      <c r="A268" s="88"/>
      <c r="B268" s="88"/>
      <c r="C268" s="88"/>
      <c r="D268" s="124"/>
      <c r="E268" s="88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88"/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/>
      <c r="BB268" s="88"/>
      <c r="BC268" s="88"/>
      <c r="BD268" s="88"/>
    </row>
    <row r="269" spans="1:56" ht="12.55" x14ac:dyDescent="0.2">
      <c r="A269" s="88"/>
      <c r="B269" s="88"/>
      <c r="C269" s="88"/>
      <c r="D269" s="124"/>
      <c r="E269" s="88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88"/>
      <c r="AL269" s="88"/>
      <c r="AM269" s="88"/>
      <c r="AN269" s="88"/>
      <c r="AO269" s="88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  <c r="BA269" s="88"/>
      <c r="BB269" s="88"/>
      <c r="BC269" s="88"/>
      <c r="BD269" s="88"/>
    </row>
    <row r="270" spans="1:56" ht="12.55" x14ac:dyDescent="0.2">
      <c r="A270" s="88"/>
      <c r="B270" s="88"/>
      <c r="C270" s="88"/>
      <c r="D270" s="124"/>
      <c r="E270" s="88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88"/>
      <c r="BB270" s="88"/>
      <c r="BC270" s="88"/>
      <c r="BD270" s="88"/>
    </row>
    <row r="271" spans="1:56" ht="12.55" x14ac:dyDescent="0.2">
      <c r="A271" s="88"/>
      <c r="B271" s="88"/>
      <c r="C271" s="88"/>
      <c r="D271" s="124"/>
      <c r="E271" s="88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88"/>
      <c r="AL271" s="88"/>
      <c r="AM271" s="88"/>
      <c r="AN271" s="88"/>
      <c r="AO271" s="88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  <c r="BA271" s="88"/>
      <c r="BB271" s="88"/>
      <c r="BC271" s="88"/>
      <c r="BD271" s="88"/>
    </row>
    <row r="272" spans="1:56" ht="12.55" x14ac:dyDescent="0.2">
      <c r="A272" s="88"/>
      <c r="B272" s="88"/>
      <c r="C272" s="88"/>
      <c r="D272" s="124"/>
      <c r="E272" s="88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</row>
    <row r="273" spans="1:56" ht="12.55" x14ac:dyDescent="0.2">
      <c r="A273" s="88"/>
      <c r="B273" s="88"/>
      <c r="C273" s="88"/>
      <c r="D273" s="124"/>
      <c r="E273" s="88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/>
      <c r="BB273" s="88"/>
      <c r="BC273" s="88"/>
      <c r="BD273" s="88"/>
    </row>
    <row r="274" spans="1:56" ht="12.55" x14ac:dyDescent="0.2">
      <c r="A274" s="88"/>
      <c r="B274" s="88"/>
      <c r="C274" s="88"/>
      <c r="D274" s="124"/>
      <c r="E274" s="88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88"/>
      <c r="AL274" s="88"/>
      <c r="AM274" s="88"/>
      <c r="AN274" s="88"/>
      <c r="AO274" s="8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  <c r="BC274" s="88"/>
      <c r="BD274" s="88"/>
    </row>
    <row r="275" spans="1:56" ht="12.55" x14ac:dyDescent="0.2">
      <c r="A275" s="88"/>
      <c r="B275" s="88"/>
      <c r="C275" s="88"/>
      <c r="D275" s="124"/>
      <c r="E275" s="88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88"/>
      <c r="AL275" s="88"/>
      <c r="AM275" s="88"/>
      <c r="AN275" s="88"/>
      <c r="AO275" s="88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  <c r="BA275" s="88"/>
      <c r="BB275" s="88"/>
      <c r="BC275" s="88"/>
      <c r="BD275" s="88"/>
    </row>
    <row r="276" spans="1:56" ht="12.55" x14ac:dyDescent="0.2">
      <c r="A276" s="88"/>
      <c r="B276" s="88"/>
      <c r="C276" s="88"/>
      <c r="D276" s="124"/>
      <c r="E276" s="88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</row>
    <row r="277" spans="1:56" ht="12.55" x14ac:dyDescent="0.2">
      <c r="A277" s="88"/>
      <c r="B277" s="88"/>
      <c r="C277" s="88"/>
      <c r="D277" s="124"/>
      <c r="E277" s="88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88"/>
      <c r="AL277" s="88"/>
      <c r="AM277" s="88"/>
      <c r="AN277" s="88"/>
      <c r="AO277" s="88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  <c r="BA277" s="88"/>
      <c r="BB277" s="88"/>
      <c r="BC277" s="88"/>
      <c r="BD277" s="88"/>
    </row>
    <row r="278" spans="1:56" ht="12.55" x14ac:dyDescent="0.2">
      <c r="A278" s="88"/>
      <c r="B278" s="88"/>
      <c r="C278" s="88"/>
      <c r="D278" s="124"/>
      <c r="E278" s="88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/>
      <c r="BB278" s="88"/>
      <c r="BC278" s="88"/>
      <c r="BD278" s="88"/>
    </row>
    <row r="279" spans="1:56" ht="12.55" x14ac:dyDescent="0.2">
      <c r="A279" s="88"/>
      <c r="B279" s="88"/>
      <c r="C279" s="88"/>
      <c r="D279" s="124"/>
      <c r="E279" s="88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/>
      <c r="BB279" s="88"/>
      <c r="BC279" s="88"/>
      <c r="BD279" s="88"/>
    </row>
    <row r="280" spans="1:56" ht="12.55" x14ac:dyDescent="0.2">
      <c r="A280" s="88"/>
      <c r="B280" s="88"/>
      <c r="C280" s="88"/>
      <c r="D280" s="124"/>
      <c r="E280" s="88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88"/>
      <c r="AL280" s="88"/>
      <c r="AM280" s="88"/>
      <c r="AN280" s="88"/>
      <c r="AO280" s="88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  <c r="BA280" s="88"/>
      <c r="BB280" s="88"/>
      <c r="BC280" s="88"/>
      <c r="BD280" s="88"/>
    </row>
    <row r="281" spans="1:56" ht="12.55" x14ac:dyDescent="0.2">
      <c r="A281" s="88"/>
      <c r="B281" s="88"/>
      <c r="C281" s="88"/>
      <c r="D281" s="124"/>
      <c r="E281" s="88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/>
      <c r="BB281" s="88"/>
      <c r="BC281" s="88"/>
      <c r="BD281" s="88"/>
    </row>
    <row r="282" spans="1:56" ht="12.55" x14ac:dyDescent="0.2">
      <c r="A282" s="88"/>
      <c r="B282" s="88"/>
      <c r="C282" s="88"/>
      <c r="D282" s="124"/>
      <c r="E282" s="88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/>
      <c r="BB282" s="88"/>
      <c r="BC282" s="88"/>
      <c r="BD282" s="88"/>
    </row>
    <row r="283" spans="1:56" ht="12.55" x14ac:dyDescent="0.2">
      <c r="A283" s="88"/>
      <c r="B283" s="88"/>
      <c r="C283" s="88"/>
      <c r="D283" s="124"/>
      <c r="E283" s="88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/>
      <c r="BB283" s="88"/>
      <c r="BC283" s="88"/>
      <c r="BD283" s="88"/>
    </row>
    <row r="284" spans="1:56" ht="12.55" x14ac:dyDescent="0.2">
      <c r="A284" s="88"/>
      <c r="B284" s="88"/>
      <c r="C284" s="88"/>
      <c r="D284" s="124"/>
      <c r="E284" s="88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88"/>
      <c r="AL284" s="88"/>
      <c r="AM284" s="88"/>
      <c r="AN284" s="88"/>
      <c r="AO284" s="88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  <c r="BA284" s="88"/>
      <c r="BB284" s="88"/>
      <c r="BC284" s="88"/>
      <c r="BD284" s="88"/>
    </row>
    <row r="285" spans="1:56" ht="12.55" x14ac:dyDescent="0.2">
      <c r="A285" s="88"/>
      <c r="B285" s="88"/>
      <c r="C285" s="88"/>
      <c r="D285" s="124"/>
      <c r="E285" s="88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88"/>
      <c r="AL285" s="88"/>
      <c r="AM285" s="88"/>
      <c r="AN285" s="88"/>
      <c r="AO285" s="88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  <c r="BA285" s="88"/>
      <c r="BB285" s="88"/>
      <c r="BC285" s="88"/>
      <c r="BD285" s="88"/>
    </row>
    <row r="286" spans="1:56" ht="12.55" x14ac:dyDescent="0.2">
      <c r="A286" s="88"/>
      <c r="B286" s="88"/>
      <c r="C286" s="88"/>
      <c r="D286" s="124"/>
      <c r="E286" s="88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88"/>
      <c r="AL286" s="88"/>
      <c r="AM286" s="88"/>
      <c r="AN286" s="88"/>
      <c r="AO286" s="88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  <c r="BA286" s="88"/>
      <c r="BB286" s="88"/>
      <c r="BC286" s="88"/>
      <c r="BD286" s="88"/>
    </row>
    <row r="287" spans="1:56" ht="12.55" x14ac:dyDescent="0.2">
      <c r="A287" s="88"/>
      <c r="B287" s="88"/>
      <c r="C287" s="88"/>
      <c r="D287" s="124"/>
      <c r="E287" s="88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/>
      <c r="BB287" s="88"/>
      <c r="BC287" s="88"/>
      <c r="BD287" s="88"/>
    </row>
    <row r="288" spans="1:56" ht="12.55" x14ac:dyDescent="0.2">
      <c r="A288" s="88"/>
      <c r="B288" s="88"/>
      <c r="C288" s="88"/>
      <c r="D288" s="88"/>
      <c r="E288" s="88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88"/>
      <c r="AL288" s="88"/>
      <c r="AM288" s="88"/>
      <c r="AN288" s="88"/>
      <c r="AO288" s="88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  <c r="BA288" s="88"/>
      <c r="BB288" s="88"/>
      <c r="BC288" s="88"/>
      <c r="BD288" s="88"/>
    </row>
    <row r="289" spans="1:56" ht="12.55" x14ac:dyDescent="0.2">
      <c r="A289" s="88"/>
      <c r="B289" s="88"/>
      <c r="C289" s="88"/>
      <c r="D289" s="88"/>
      <c r="E289" s="88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  <c r="BC289" s="88"/>
      <c r="BD289" s="88"/>
    </row>
    <row r="290" spans="1:56" ht="12.55" x14ac:dyDescent="0.2">
      <c r="A290" s="88"/>
      <c r="B290" s="88"/>
      <c r="C290" s="88"/>
      <c r="D290" s="88"/>
      <c r="E290" s="88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88"/>
      <c r="AL290" s="88"/>
      <c r="AM290" s="88"/>
      <c r="AN290" s="88"/>
      <c r="AO290" s="88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  <c r="BA290" s="88"/>
      <c r="BB290" s="88"/>
      <c r="BC290" s="88"/>
      <c r="BD290" s="88"/>
    </row>
    <row r="291" spans="1:56" ht="12.55" x14ac:dyDescent="0.2">
      <c r="A291" s="88"/>
      <c r="B291" s="88"/>
      <c r="C291" s="88"/>
      <c r="D291" s="88"/>
      <c r="E291" s="88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88"/>
      <c r="BC291" s="88"/>
      <c r="BD291" s="88"/>
    </row>
    <row r="292" spans="1:56" ht="12.55" x14ac:dyDescent="0.2">
      <c r="A292" s="88"/>
      <c r="B292" s="88"/>
      <c r="C292" s="88"/>
      <c r="D292" s="88"/>
      <c r="E292" s="88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8"/>
    </row>
    <row r="293" spans="1:56" ht="12.55" x14ac:dyDescent="0.2">
      <c r="A293" s="88"/>
      <c r="B293" s="88"/>
      <c r="C293" s="88"/>
      <c r="D293" s="88"/>
      <c r="E293" s="88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88"/>
      <c r="AL293" s="88"/>
      <c r="AM293" s="88"/>
      <c r="AN293" s="88"/>
      <c r="AO293" s="88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  <c r="BC293" s="88"/>
      <c r="BD293" s="88"/>
    </row>
    <row r="294" spans="1:56" ht="12.55" x14ac:dyDescent="0.2">
      <c r="A294" s="88"/>
      <c r="B294" s="88"/>
      <c r="C294" s="88"/>
      <c r="D294" s="88"/>
      <c r="E294" s="88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88"/>
      <c r="AL294" s="88"/>
      <c r="AM294" s="88"/>
      <c r="AN294" s="88"/>
      <c r="AO294" s="88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  <c r="BC294" s="88"/>
      <c r="BD294" s="88"/>
    </row>
    <row r="295" spans="1:56" ht="12.55" x14ac:dyDescent="0.2">
      <c r="A295" s="88"/>
      <c r="B295" s="88"/>
      <c r="C295" s="88"/>
      <c r="D295" s="88"/>
      <c r="E295" s="88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88"/>
      <c r="AL295" s="88"/>
      <c r="AM295" s="88"/>
      <c r="AN295" s="88"/>
      <c r="AO295" s="88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  <c r="BA295" s="88"/>
      <c r="BB295" s="88"/>
      <c r="BC295" s="88"/>
      <c r="BD295" s="88"/>
    </row>
    <row r="296" spans="1:56" ht="12.55" x14ac:dyDescent="0.2">
      <c r="A296" s="88"/>
      <c r="B296" s="88"/>
      <c r="C296" s="88"/>
      <c r="D296" s="88"/>
      <c r="E296" s="88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88"/>
      <c r="AL296" s="88"/>
      <c r="AM296" s="88"/>
      <c r="AN296" s="88"/>
      <c r="AO296" s="88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  <c r="BA296" s="88"/>
      <c r="BB296" s="88"/>
      <c r="BC296" s="88"/>
      <c r="BD296" s="88"/>
    </row>
    <row r="297" spans="1:56" ht="12.55" x14ac:dyDescent="0.2">
      <c r="A297" s="88"/>
      <c r="B297" s="88"/>
      <c r="C297" s="88"/>
      <c r="D297" s="88"/>
      <c r="E297" s="88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88"/>
      <c r="AL297" s="88"/>
      <c r="AM297" s="88"/>
      <c r="AN297" s="88"/>
      <c r="AO297" s="88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  <c r="BA297" s="88"/>
      <c r="BB297" s="88"/>
      <c r="BC297" s="88"/>
      <c r="BD297" s="88"/>
    </row>
    <row r="298" spans="1:56" ht="12.55" x14ac:dyDescent="0.2">
      <c r="A298" s="88"/>
      <c r="B298" s="88"/>
      <c r="C298" s="88"/>
      <c r="D298" s="88"/>
      <c r="E298" s="88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88"/>
      <c r="AL298" s="88"/>
      <c r="AM298" s="88"/>
      <c r="AN298" s="88"/>
      <c r="AO298" s="88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  <c r="BA298" s="88"/>
      <c r="BB298" s="88"/>
      <c r="BC298" s="88"/>
      <c r="BD298" s="88"/>
    </row>
    <row r="299" spans="1:56" ht="12.55" x14ac:dyDescent="0.2">
      <c r="A299" s="88"/>
      <c r="B299" s="88"/>
      <c r="C299" s="88"/>
      <c r="D299" s="88"/>
      <c r="E299" s="88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/>
      <c r="BB299" s="88"/>
      <c r="BC299" s="88"/>
      <c r="BD299" s="88"/>
    </row>
    <row r="300" spans="1:56" ht="12.55" x14ac:dyDescent="0.2">
      <c r="A300" s="88"/>
      <c r="B300" s="88"/>
      <c r="C300" s="88"/>
      <c r="D300" s="88"/>
      <c r="E300" s="88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88"/>
      <c r="AL300" s="88"/>
      <c r="AM300" s="88"/>
      <c r="AN300" s="88"/>
      <c r="AO300" s="88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  <c r="BA300" s="88"/>
      <c r="BB300" s="88"/>
      <c r="BC300" s="88"/>
      <c r="BD300" s="88"/>
    </row>
    <row r="301" spans="1:56" ht="12.55" x14ac:dyDescent="0.2">
      <c r="A301" s="88"/>
      <c r="B301" s="88"/>
      <c r="C301" s="88"/>
      <c r="D301" s="88"/>
      <c r="E301" s="88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88"/>
      <c r="AL301" s="88"/>
      <c r="AM301" s="88"/>
      <c r="AN301" s="88"/>
      <c r="AO301" s="88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  <c r="BA301" s="88"/>
      <c r="BB301" s="88"/>
      <c r="BC301" s="88"/>
      <c r="BD301" s="88"/>
    </row>
    <row r="302" spans="1:56" ht="12.55" x14ac:dyDescent="0.2">
      <c r="A302" s="88"/>
      <c r="B302" s="88"/>
      <c r="C302" s="88"/>
      <c r="D302" s="88"/>
      <c r="E302" s="88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88"/>
      <c r="AL302" s="88"/>
      <c r="AM302" s="88"/>
      <c r="AN302" s="88"/>
      <c r="AO302" s="88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  <c r="BA302" s="88"/>
      <c r="BB302" s="88"/>
      <c r="BC302" s="88"/>
      <c r="BD302" s="88"/>
    </row>
    <row r="303" spans="1:56" ht="12.55" x14ac:dyDescent="0.2">
      <c r="A303" s="88"/>
      <c r="B303" s="88"/>
      <c r="C303" s="88"/>
      <c r="D303" s="88"/>
      <c r="E303" s="88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  <c r="BC303" s="88"/>
      <c r="BD303" s="88"/>
    </row>
    <row r="304" spans="1:56" ht="12.55" x14ac:dyDescent="0.2">
      <c r="A304" s="88"/>
      <c r="B304" s="88"/>
      <c r="C304" s="88"/>
      <c r="D304" s="88"/>
      <c r="E304" s="88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88"/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/>
      <c r="BB304" s="88"/>
      <c r="BC304" s="88"/>
      <c r="BD304" s="88"/>
    </row>
    <row r="305" spans="1:56" ht="12.55" x14ac:dyDescent="0.2">
      <c r="A305" s="88"/>
      <c r="B305" s="88"/>
      <c r="C305" s="88"/>
      <c r="D305" s="88"/>
      <c r="E305" s="88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88"/>
      <c r="AL305" s="88"/>
      <c r="AM305" s="88"/>
      <c r="AN305" s="88"/>
      <c r="AO305" s="88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  <c r="BA305" s="88"/>
      <c r="BB305" s="88"/>
      <c r="BC305" s="88"/>
      <c r="BD305" s="88"/>
    </row>
    <row r="306" spans="1:56" ht="12.55" x14ac:dyDescent="0.2">
      <c r="A306" s="88"/>
      <c r="B306" s="88"/>
      <c r="C306" s="88"/>
      <c r="D306" s="88"/>
      <c r="E306" s="88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/>
      <c r="BB306" s="88"/>
      <c r="BC306" s="88"/>
      <c r="BD306" s="88"/>
    </row>
    <row r="307" spans="1:56" ht="12.55" x14ac:dyDescent="0.2">
      <c r="A307" s="88"/>
      <c r="B307" s="88"/>
      <c r="C307" s="88"/>
      <c r="D307" s="88"/>
      <c r="E307" s="88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88"/>
      <c r="AL307" s="88"/>
      <c r="AM307" s="88"/>
      <c r="AN307" s="88"/>
      <c r="AO307" s="88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  <c r="BA307" s="88"/>
      <c r="BB307" s="88"/>
      <c r="BC307" s="88"/>
      <c r="BD307" s="88"/>
    </row>
    <row r="308" spans="1:56" ht="12.55" x14ac:dyDescent="0.2">
      <c r="A308" s="88"/>
      <c r="B308" s="88"/>
      <c r="C308" s="88"/>
      <c r="D308" s="88"/>
      <c r="E308" s="88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/>
      <c r="BB308" s="88"/>
      <c r="BC308" s="88"/>
      <c r="BD308" s="88"/>
    </row>
    <row r="309" spans="1:56" ht="12.55" x14ac:dyDescent="0.2">
      <c r="A309" s="88"/>
      <c r="B309" s="88"/>
      <c r="C309" s="88"/>
      <c r="D309" s="88"/>
      <c r="E309" s="88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88"/>
      <c r="AL309" s="88"/>
      <c r="AM309" s="88"/>
      <c r="AN309" s="88"/>
      <c r="AO309" s="88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  <c r="BA309" s="88"/>
      <c r="BB309" s="88"/>
      <c r="BC309" s="88"/>
      <c r="BD309" s="88"/>
    </row>
    <row r="310" spans="1:56" ht="12.55" x14ac:dyDescent="0.2">
      <c r="A310" s="88"/>
      <c r="B310" s="88"/>
      <c r="C310" s="88"/>
      <c r="D310" s="88"/>
      <c r="E310" s="88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/>
      <c r="BB310" s="88"/>
      <c r="BC310" s="88"/>
      <c r="BD310" s="88"/>
    </row>
    <row r="311" spans="1:56" ht="12.55" x14ac:dyDescent="0.2">
      <c r="A311" s="88"/>
      <c r="B311" s="88"/>
      <c r="C311" s="88"/>
      <c r="D311" s="88"/>
      <c r="E311" s="88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88"/>
      <c r="AL311" s="88"/>
      <c r="AM311" s="88"/>
      <c r="AN311" s="88"/>
      <c r="AO311" s="88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  <c r="BA311" s="88"/>
      <c r="BB311" s="88"/>
      <c r="BC311" s="88"/>
      <c r="BD311" s="88"/>
    </row>
    <row r="312" spans="1:56" ht="12.55" x14ac:dyDescent="0.2">
      <c r="A312" s="88"/>
      <c r="B312" s="88"/>
      <c r="C312" s="88"/>
      <c r="D312" s="88"/>
      <c r="E312" s="88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88"/>
      <c r="AL312" s="88"/>
      <c r="AM312" s="88"/>
      <c r="AN312" s="88"/>
      <c r="AO312" s="88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  <c r="BA312" s="88"/>
      <c r="BB312" s="88"/>
      <c r="BC312" s="88"/>
      <c r="BD312" s="88"/>
    </row>
    <row r="313" spans="1:56" ht="12.55" x14ac:dyDescent="0.2">
      <c r="A313" s="88"/>
      <c r="B313" s="88"/>
      <c r="C313" s="88"/>
      <c r="D313" s="88"/>
      <c r="E313" s="88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88"/>
      <c r="AL313" s="88"/>
      <c r="AM313" s="88"/>
      <c r="AN313" s="88"/>
      <c r="AO313" s="88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  <c r="BA313" s="88"/>
      <c r="BB313" s="88"/>
      <c r="BC313" s="88"/>
      <c r="BD313" s="88"/>
    </row>
    <row r="314" spans="1:56" ht="12.55" x14ac:dyDescent="0.2">
      <c r="A314" s="88"/>
      <c r="B314" s="88"/>
      <c r="C314" s="88"/>
      <c r="D314" s="88"/>
      <c r="E314" s="88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88"/>
      <c r="AL314" s="88"/>
      <c r="AM314" s="88"/>
      <c r="AN314" s="88"/>
      <c r="AO314" s="88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  <c r="BA314" s="88"/>
      <c r="BB314" s="88"/>
      <c r="BC314" s="88"/>
      <c r="BD314" s="88"/>
    </row>
    <row r="315" spans="1:56" ht="12.55" x14ac:dyDescent="0.2">
      <c r="A315" s="88"/>
      <c r="B315" s="88"/>
      <c r="C315" s="88"/>
      <c r="D315" s="88"/>
      <c r="E315" s="88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88"/>
      <c r="AL315" s="88"/>
      <c r="AM315" s="88"/>
      <c r="AN315" s="88"/>
      <c r="AO315" s="88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  <c r="BA315" s="88"/>
      <c r="BB315" s="88"/>
      <c r="BC315" s="88"/>
      <c r="BD315" s="88"/>
    </row>
    <row r="316" spans="1:56" ht="12.55" x14ac:dyDescent="0.2">
      <c r="A316" s="88"/>
      <c r="B316" s="88"/>
      <c r="C316" s="88"/>
      <c r="D316" s="88"/>
      <c r="E316" s="88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88"/>
      <c r="AL316" s="88"/>
      <c r="AM316" s="88"/>
      <c r="AN316" s="88"/>
      <c r="AO316" s="88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  <c r="BA316" s="88"/>
      <c r="BB316" s="88"/>
      <c r="BC316" s="88"/>
      <c r="BD316" s="88"/>
    </row>
    <row r="317" spans="1:56" ht="12.55" x14ac:dyDescent="0.2">
      <c r="A317" s="88"/>
      <c r="B317" s="88"/>
      <c r="C317" s="88"/>
      <c r="D317" s="88"/>
      <c r="E317" s="88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88"/>
      <c r="AL317" s="88"/>
      <c r="AM317" s="88"/>
      <c r="AN317" s="88"/>
      <c r="AO317" s="88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  <c r="BA317" s="88"/>
      <c r="BB317" s="88"/>
      <c r="BC317" s="88"/>
      <c r="BD317" s="88"/>
    </row>
    <row r="318" spans="1:56" ht="12.55" x14ac:dyDescent="0.2">
      <c r="A318" s="88"/>
      <c r="B318" s="88"/>
      <c r="C318" s="88"/>
      <c r="D318" s="88"/>
      <c r="E318" s="88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88"/>
      <c r="AL318" s="88"/>
      <c r="AM318" s="88"/>
      <c r="AN318" s="88"/>
      <c r="AO318" s="88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  <c r="BA318" s="88"/>
      <c r="BB318" s="88"/>
      <c r="BC318" s="88"/>
      <c r="BD318" s="88"/>
    </row>
    <row r="319" spans="1:56" ht="12.55" x14ac:dyDescent="0.2">
      <c r="A319" s="88"/>
      <c r="B319" s="88"/>
      <c r="C319" s="88"/>
      <c r="D319" s="88"/>
      <c r="E319" s="88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88"/>
      <c r="AL319" s="88"/>
      <c r="AM319" s="88"/>
      <c r="AN319" s="88"/>
      <c r="AO319" s="88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  <c r="BA319" s="88"/>
      <c r="BB319" s="88"/>
      <c r="BC319" s="88"/>
      <c r="BD319" s="88"/>
    </row>
    <row r="320" spans="1:56" ht="12.55" x14ac:dyDescent="0.2">
      <c r="A320" s="88"/>
      <c r="B320" s="88"/>
      <c r="C320" s="88"/>
      <c r="D320" s="88"/>
      <c r="E320" s="88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88"/>
      <c r="AL320" s="88"/>
      <c r="AM320" s="88"/>
      <c r="AN320" s="88"/>
      <c r="AO320" s="88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  <c r="BA320" s="88"/>
      <c r="BB320" s="88"/>
      <c r="BC320" s="88"/>
      <c r="BD320" s="88"/>
    </row>
    <row r="321" spans="1:56" ht="12.55" x14ac:dyDescent="0.2">
      <c r="A321" s="88"/>
      <c r="B321" s="88"/>
      <c r="C321" s="88"/>
      <c r="D321" s="88"/>
      <c r="E321" s="88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88"/>
      <c r="AL321" s="88"/>
      <c r="AM321" s="88"/>
      <c r="AN321" s="88"/>
      <c r="AO321" s="88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  <c r="BA321" s="88"/>
      <c r="BB321" s="88"/>
      <c r="BC321" s="88"/>
      <c r="BD321" s="88"/>
    </row>
    <row r="322" spans="1:56" ht="12.55" x14ac:dyDescent="0.2">
      <c r="A322" s="88"/>
      <c r="B322" s="88"/>
      <c r="C322" s="88"/>
      <c r="D322" s="88"/>
      <c r="E322" s="88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88"/>
      <c r="AL322" s="88"/>
      <c r="AM322" s="88"/>
      <c r="AN322" s="88"/>
      <c r="AO322" s="88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  <c r="BA322" s="88"/>
      <c r="BB322" s="88"/>
      <c r="BC322" s="88"/>
      <c r="BD322" s="88"/>
    </row>
    <row r="323" spans="1:56" ht="12.55" x14ac:dyDescent="0.2">
      <c r="A323" s="88"/>
      <c r="B323" s="88"/>
      <c r="C323" s="88"/>
      <c r="D323" s="88"/>
      <c r="E323" s="88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88"/>
      <c r="AL323" s="88"/>
      <c r="AM323" s="88"/>
      <c r="AN323" s="88"/>
      <c r="AO323" s="88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  <c r="BA323" s="88"/>
      <c r="BB323" s="88"/>
      <c r="BC323" s="88"/>
      <c r="BD323" s="88"/>
    </row>
    <row r="324" spans="1:56" ht="12.55" x14ac:dyDescent="0.2">
      <c r="A324" s="88"/>
      <c r="B324" s="88"/>
      <c r="C324" s="88"/>
      <c r="D324" s="88"/>
      <c r="E324" s="88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88"/>
      <c r="AL324" s="88"/>
      <c r="AM324" s="88"/>
      <c r="AN324" s="88"/>
      <c r="AO324" s="88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  <c r="BA324" s="88"/>
      <c r="BB324" s="88"/>
      <c r="BC324" s="88"/>
      <c r="BD324" s="88"/>
    </row>
    <row r="325" spans="1:56" ht="12.55" x14ac:dyDescent="0.2">
      <c r="A325" s="88"/>
      <c r="B325" s="88"/>
      <c r="C325" s="88"/>
      <c r="D325" s="88"/>
      <c r="E325" s="88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88"/>
      <c r="AL325" s="88"/>
      <c r="AM325" s="88"/>
      <c r="AN325" s="88"/>
      <c r="AO325" s="88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  <c r="BA325" s="88"/>
      <c r="BB325" s="88"/>
      <c r="BC325" s="88"/>
      <c r="BD325" s="88"/>
    </row>
    <row r="326" spans="1:56" ht="12.55" x14ac:dyDescent="0.2">
      <c r="A326" s="88"/>
      <c r="B326" s="88"/>
      <c r="C326" s="88"/>
      <c r="D326" s="88"/>
      <c r="E326" s="88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88"/>
      <c r="AL326" s="88"/>
      <c r="AM326" s="88"/>
      <c r="AN326" s="88"/>
      <c r="AO326" s="88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  <c r="BA326" s="88"/>
      <c r="BB326" s="88"/>
      <c r="BC326" s="88"/>
      <c r="BD326" s="88"/>
    </row>
    <row r="327" spans="1:56" ht="12.55" x14ac:dyDescent="0.2">
      <c r="A327" s="88"/>
      <c r="B327" s="88"/>
      <c r="C327" s="88"/>
      <c r="D327" s="88"/>
      <c r="E327" s="88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88"/>
      <c r="AL327" s="88"/>
      <c r="AM327" s="88"/>
      <c r="AN327" s="88"/>
      <c r="AO327" s="88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  <c r="BA327" s="88"/>
      <c r="BB327" s="88"/>
      <c r="BC327" s="88"/>
      <c r="BD327" s="88"/>
    </row>
    <row r="328" spans="1:56" ht="12.55" x14ac:dyDescent="0.2">
      <c r="A328" s="88"/>
      <c r="B328" s="88"/>
      <c r="C328" s="88"/>
      <c r="D328" s="88"/>
      <c r="E328" s="88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88"/>
      <c r="AL328" s="88"/>
      <c r="AM328" s="88"/>
      <c r="AN328" s="88"/>
      <c r="AO328" s="88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  <c r="BA328" s="88"/>
      <c r="BB328" s="88"/>
      <c r="BC328" s="88"/>
      <c r="BD328" s="88"/>
    </row>
    <row r="329" spans="1:56" ht="12.55" x14ac:dyDescent="0.2">
      <c r="A329" s="88"/>
      <c r="B329" s="88"/>
      <c r="C329" s="88"/>
      <c r="D329" s="88"/>
      <c r="E329" s="88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88"/>
      <c r="AL329" s="88"/>
      <c r="AM329" s="88"/>
      <c r="AN329" s="88"/>
      <c r="AO329" s="88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  <c r="BA329" s="88"/>
      <c r="BB329" s="88"/>
      <c r="BC329" s="88"/>
      <c r="BD329" s="88"/>
    </row>
    <row r="330" spans="1:56" ht="12.55" x14ac:dyDescent="0.2">
      <c r="A330" s="88"/>
      <c r="B330" s="88"/>
      <c r="C330" s="88"/>
      <c r="D330" s="88"/>
      <c r="E330" s="88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88"/>
      <c r="AL330" s="88"/>
      <c r="AM330" s="88"/>
      <c r="AN330" s="88"/>
      <c r="AO330" s="88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  <c r="BA330" s="88"/>
      <c r="BB330" s="88"/>
      <c r="BC330" s="88"/>
      <c r="BD330" s="88"/>
    </row>
    <row r="331" spans="1:56" ht="12.55" x14ac:dyDescent="0.2">
      <c r="A331" s="88"/>
      <c r="B331" s="88"/>
      <c r="C331" s="88"/>
      <c r="D331" s="88"/>
      <c r="E331" s="88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88"/>
      <c r="AL331" s="88"/>
      <c r="AM331" s="88"/>
      <c r="AN331" s="88"/>
      <c r="AO331" s="88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  <c r="BA331" s="88"/>
      <c r="BB331" s="88"/>
      <c r="BC331" s="88"/>
      <c r="BD331" s="88"/>
    </row>
    <row r="332" spans="1:56" ht="12.55" x14ac:dyDescent="0.2">
      <c r="A332" s="88"/>
      <c r="B332" s="88"/>
      <c r="C332" s="88"/>
      <c r="D332" s="88"/>
      <c r="E332" s="88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88"/>
      <c r="AL332" s="88"/>
      <c r="AM332" s="88"/>
      <c r="AN332" s="88"/>
      <c r="AO332" s="88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  <c r="BA332" s="88"/>
      <c r="BB332" s="88"/>
      <c r="BC332" s="88"/>
      <c r="BD332" s="88"/>
    </row>
    <row r="333" spans="1:56" ht="12.55" x14ac:dyDescent="0.2">
      <c r="A333" s="88"/>
      <c r="B333" s="88"/>
      <c r="C333" s="88"/>
      <c r="D333" s="88"/>
      <c r="E333" s="88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88"/>
      <c r="AL333" s="88"/>
      <c r="AM333" s="88"/>
      <c r="AN333" s="88"/>
      <c r="AO333" s="88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  <c r="BA333" s="88"/>
      <c r="BB333" s="88"/>
      <c r="BC333" s="88"/>
      <c r="BD333" s="88"/>
    </row>
    <row r="334" spans="1:56" ht="12.55" x14ac:dyDescent="0.2">
      <c r="A334" s="88"/>
      <c r="B334" s="88"/>
      <c r="C334" s="88"/>
      <c r="D334" s="88"/>
      <c r="E334" s="88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88"/>
      <c r="AL334" s="88"/>
      <c r="AM334" s="88"/>
      <c r="AN334" s="88"/>
      <c r="AO334" s="88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/>
      <c r="BB334" s="88"/>
      <c r="BC334" s="88"/>
      <c r="BD334" s="88"/>
    </row>
    <row r="335" spans="1:56" ht="12.55" x14ac:dyDescent="0.2">
      <c r="A335" s="88"/>
      <c r="B335" s="88"/>
      <c r="C335" s="88"/>
      <c r="D335" s="88"/>
      <c r="E335" s="88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88"/>
      <c r="AL335" s="88"/>
      <c r="AM335" s="88"/>
      <c r="AN335" s="88"/>
      <c r="AO335" s="88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/>
      <c r="BB335" s="88"/>
      <c r="BC335" s="88"/>
      <c r="BD335" s="88"/>
    </row>
    <row r="336" spans="1:56" ht="12.55" x14ac:dyDescent="0.2">
      <c r="A336" s="88"/>
      <c r="B336" s="88"/>
      <c r="C336" s="88"/>
      <c r="D336" s="88"/>
      <c r="E336" s="88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88"/>
      <c r="AL336" s="88"/>
      <c r="AM336" s="88"/>
      <c r="AN336" s="88"/>
      <c r="AO336" s="88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  <c r="BA336" s="88"/>
      <c r="BB336" s="88"/>
      <c r="BC336" s="88"/>
      <c r="BD336" s="88"/>
    </row>
    <row r="337" spans="1:56" ht="12.55" x14ac:dyDescent="0.2">
      <c r="A337" s="88"/>
      <c r="B337" s="88"/>
      <c r="C337" s="88"/>
      <c r="D337" s="88"/>
      <c r="E337" s="88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88"/>
      <c r="AL337" s="88"/>
      <c r="AM337" s="88"/>
      <c r="AN337" s="88"/>
      <c r="AO337" s="88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  <c r="BA337" s="88"/>
      <c r="BB337" s="88"/>
      <c r="BC337" s="88"/>
      <c r="BD337" s="88"/>
    </row>
    <row r="338" spans="1:56" ht="12.55" x14ac:dyDescent="0.2">
      <c r="A338" s="88"/>
      <c r="B338" s="88"/>
      <c r="C338" s="88"/>
      <c r="D338" s="88"/>
      <c r="E338" s="88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</row>
    <row r="339" spans="1:56" ht="12.55" x14ac:dyDescent="0.2">
      <c r="A339" s="88"/>
      <c r="B339" s="88"/>
      <c r="C339" s="88"/>
      <c r="D339" s="88"/>
      <c r="E339" s="88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88"/>
      <c r="AL339" s="88"/>
      <c r="AM339" s="88"/>
      <c r="AN339" s="88"/>
      <c r="AO339" s="88"/>
      <c r="AP339" s="88"/>
      <c r="AQ339" s="88"/>
      <c r="AR339" s="88"/>
      <c r="AS339" s="88"/>
      <c r="AT339" s="88"/>
      <c r="AU339" s="88"/>
      <c r="AV339" s="88"/>
      <c r="AW339" s="88"/>
      <c r="AX339" s="88"/>
      <c r="AY339" s="88"/>
      <c r="AZ339" s="88"/>
      <c r="BA339" s="88"/>
      <c r="BB339" s="88"/>
      <c r="BC339" s="88"/>
      <c r="BD339" s="88"/>
    </row>
    <row r="340" spans="1:56" ht="12.55" x14ac:dyDescent="0.2">
      <c r="A340" s="88"/>
      <c r="B340" s="88"/>
      <c r="C340" s="88"/>
      <c r="D340" s="88"/>
      <c r="E340" s="88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88"/>
      <c r="AL340" s="88"/>
      <c r="AM340" s="88"/>
      <c r="AN340" s="88"/>
      <c r="AO340" s="88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  <c r="BA340" s="88"/>
      <c r="BB340" s="88"/>
      <c r="BC340" s="88"/>
      <c r="BD340" s="88"/>
    </row>
    <row r="341" spans="1:56" ht="12.55" x14ac:dyDescent="0.2">
      <c r="A341" s="88"/>
      <c r="B341" s="88"/>
      <c r="C341" s="88"/>
      <c r="D341" s="88"/>
      <c r="E341" s="88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88"/>
      <c r="AL341" s="88"/>
      <c r="AM341" s="88"/>
      <c r="AN341" s="88"/>
      <c r="AO341" s="88"/>
      <c r="AP341" s="88"/>
      <c r="AQ341" s="88"/>
      <c r="AR341" s="88"/>
      <c r="AS341" s="88"/>
      <c r="AT341" s="88"/>
      <c r="AU341" s="88"/>
      <c r="AV341" s="88"/>
      <c r="AW341" s="88"/>
      <c r="AX341" s="88"/>
      <c r="AY341" s="88"/>
      <c r="AZ341" s="88"/>
      <c r="BA341" s="88"/>
      <c r="BB341" s="88"/>
      <c r="BC341" s="88"/>
      <c r="BD341" s="88"/>
    </row>
    <row r="342" spans="1:56" ht="12.55" x14ac:dyDescent="0.2">
      <c r="A342" s="88"/>
      <c r="B342" s="88"/>
      <c r="C342" s="88"/>
      <c r="D342" s="88"/>
      <c r="E342" s="88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  <c r="BC342" s="88"/>
      <c r="BD342" s="88"/>
    </row>
    <row r="343" spans="1:56" ht="12.55" x14ac:dyDescent="0.2">
      <c r="A343" s="88"/>
      <c r="B343" s="88"/>
      <c r="C343" s="88"/>
      <c r="D343" s="88"/>
      <c r="E343" s="88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88"/>
      <c r="AL343" s="88"/>
      <c r="AM343" s="88"/>
      <c r="AN343" s="88"/>
      <c r="AO343" s="88"/>
      <c r="AP343" s="88"/>
      <c r="AQ343" s="88"/>
      <c r="AR343" s="88"/>
      <c r="AS343" s="88"/>
      <c r="AT343" s="88"/>
      <c r="AU343" s="88"/>
      <c r="AV343" s="88"/>
      <c r="AW343" s="88"/>
      <c r="AX343" s="88"/>
      <c r="AY343" s="88"/>
      <c r="AZ343" s="88"/>
      <c r="BA343" s="88"/>
      <c r="BB343" s="88"/>
      <c r="BC343" s="88"/>
      <c r="BD343" s="88"/>
    </row>
    <row r="344" spans="1:56" ht="12.55" x14ac:dyDescent="0.2">
      <c r="A344" s="88"/>
      <c r="B344" s="88"/>
      <c r="C344" s="88"/>
      <c r="D344" s="88"/>
      <c r="E344" s="88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88"/>
      <c r="AL344" s="88"/>
      <c r="AM344" s="88"/>
      <c r="AN344" s="88"/>
      <c r="AO344" s="88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  <c r="BA344" s="88"/>
      <c r="BB344" s="88"/>
      <c r="BC344" s="88"/>
      <c r="BD344" s="88"/>
    </row>
    <row r="345" spans="1:56" ht="12.55" x14ac:dyDescent="0.2">
      <c r="A345" s="88"/>
      <c r="B345" s="88"/>
      <c r="C345" s="88"/>
      <c r="D345" s="88"/>
      <c r="E345" s="88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88"/>
      <c r="AL345" s="88"/>
      <c r="AM345" s="88"/>
      <c r="AN345" s="88"/>
      <c r="AO345" s="88"/>
      <c r="AP345" s="88"/>
      <c r="AQ345" s="88"/>
      <c r="AR345" s="88"/>
      <c r="AS345" s="88"/>
      <c r="AT345" s="88"/>
      <c r="AU345" s="88"/>
      <c r="AV345" s="88"/>
      <c r="AW345" s="88"/>
      <c r="AX345" s="88"/>
      <c r="AY345" s="88"/>
      <c r="AZ345" s="88"/>
      <c r="BA345" s="88"/>
      <c r="BB345" s="88"/>
      <c r="BC345" s="88"/>
      <c r="BD345" s="88"/>
    </row>
    <row r="346" spans="1:56" ht="12.55" x14ac:dyDescent="0.2">
      <c r="A346" s="88"/>
      <c r="B346" s="88"/>
      <c r="C346" s="88"/>
      <c r="D346" s="88"/>
      <c r="E346" s="88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88"/>
      <c r="AL346" s="88"/>
      <c r="AM346" s="88"/>
      <c r="AN346" s="88"/>
      <c r="AO346" s="88"/>
      <c r="AP346" s="88"/>
      <c r="AQ346" s="88"/>
      <c r="AR346" s="88"/>
      <c r="AS346" s="88"/>
      <c r="AT346" s="88"/>
      <c r="AU346" s="88"/>
      <c r="AV346" s="88"/>
      <c r="AW346" s="88"/>
      <c r="AX346" s="88"/>
      <c r="AY346" s="88"/>
      <c r="AZ346" s="88"/>
      <c r="BA346" s="88"/>
      <c r="BB346" s="88"/>
      <c r="BC346" s="88"/>
      <c r="BD346" s="88"/>
    </row>
    <row r="347" spans="1:56" ht="12.55" x14ac:dyDescent="0.2">
      <c r="A347" s="88"/>
      <c r="B347" s="88"/>
      <c r="C347" s="88"/>
      <c r="D347" s="88"/>
      <c r="E347" s="88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88"/>
      <c r="AL347" s="88"/>
      <c r="AM347" s="88"/>
      <c r="AN347" s="88"/>
      <c r="AO347" s="88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  <c r="BA347" s="88"/>
      <c r="BB347" s="88"/>
      <c r="BC347" s="88"/>
      <c r="BD347" s="88"/>
    </row>
    <row r="348" spans="1:56" ht="12.55" x14ac:dyDescent="0.2">
      <c r="A348" s="88"/>
      <c r="B348" s="88"/>
      <c r="C348" s="88"/>
      <c r="D348" s="88"/>
      <c r="E348" s="88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88"/>
      <c r="AL348" s="88"/>
      <c r="AM348" s="88"/>
      <c r="AN348" s="88"/>
      <c r="AO348" s="88"/>
      <c r="AP348" s="88"/>
      <c r="AQ348" s="88"/>
      <c r="AR348" s="88"/>
      <c r="AS348" s="88"/>
      <c r="AT348" s="88"/>
      <c r="AU348" s="88"/>
      <c r="AV348" s="88"/>
      <c r="AW348" s="88"/>
      <c r="AX348" s="88"/>
      <c r="AY348" s="88"/>
      <c r="AZ348" s="88"/>
      <c r="BA348" s="88"/>
      <c r="BB348" s="88"/>
      <c r="BC348" s="88"/>
      <c r="BD348" s="88"/>
    </row>
    <row r="349" spans="1:56" ht="12.55" x14ac:dyDescent="0.2">
      <c r="A349" s="88"/>
      <c r="B349" s="88"/>
      <c r="C349" s="88"/>
      <c r="D349" s="88"/>
      <c r="E349" s="88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88"/>
      <c r="AL349" s="88"/>
      <c r="AM349" s="88"/>
      <c r="AN349" s="88"/>
      <c r="AO349" s="88"/>
      <c r="AP349" s="88"/>
      <c r="AQ349" s="88"/>
      <c r="AR349" s="88"/>
      <c r="AS349" s="88"/>
      <c r="AT349" s="88"/>
      <c r="AU349" s="88"/>
      <c r="AV349" s="88"/>
      <c r="AW349" s="88"/>
      <c r="AX349" s="88"/>
      <c r="AY349" s="88"/>
      <c r="AZ349" s="88"/>
      <c r="BA349" s="88"/>
      <c r="BB349" s="88"/>
      <c r="BC349" s="88"/>
      <c r="BD349" s="88"/>
    </row>
    <row r="350" spans="1:56" ht="12.55" x14ac:dyDescent="0.2">
      <c r="A350" s="88"/>
      <c r="B350" s="88"/>
      <c r="C350" s="88"/>
      <c r="D350" s="88"/>
      <c r="E350" s="88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88"/>
      <c r="AL350" s="88"/>
      <c r="AM350" s="88"/>
      <c r="AN350" s="88"/>
      <c r="AO350" s="88"/>
      <c r="AP350" s="88"/>
      <c r="AQ350" s="88"/>
      <c r="AR350" s="88"/>
      <c r="AS350" s="88"/>
      <c r="AT350" s="88"/>
      <c r="AU350" s="88"/>
      <c r="AV350" s="88"/>
      <c r="AW350" s="88"/>
      <c r="AX350" s="88"/>
      <c r="AY350" s="88"/>
      <c r="AZ350" s="88"/>
      <c r="BA350" s="88"/>
      <c r="BB350" s="88"/>
      <c r="BC350" s="88"/>
      <c r="BD350" s="88"/>
    </row>
    <row r="351" spans="1:56" ht="12.55" x14ac:dyDescent="0.2">
      <c r="A351" s="88"/>
      <c r="B351" s="88"/>
      <c r="C351" s="88"/>
      <c r="D351" s="88"/>
      <c r="E351" s="88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88"/>
      <c r="AL351" s="88"/>
      <c r="AM351" s="88"/>
      <c r="AN351" s="88"/>
      <c r="AO351" s="88"/>
      <c r="AP351" s="88"/>
      <c r="AQ351" s="88"/>
      <c r="AR351" s="88"/>
      <c r="AS351" s="88"/>
      <c r="AT351" s="88"/>
      <c r="AU351" s="88"/>
      <c r="AV351" s="88"/>
      <c r="AW351" s="88"/>
      <c r="AX351" s="88"/>
      <c r="AY351" s="88"/>
      <c r="AZ351" s="88"/>
      <c r="BA351" s="88"/>
      <c r="BB351" s="88"/>
      <c r="BC351" s="88"/>
      <c r="BD351" s="88"/>
    </row>
    <row r="352" spans="1:56" ht="12.55" x14ac:dyDescent="0.2">
      <c r="A352" s="88"/>
      <c r="B352" s="88"/>
      <c r="C352" s="88"/>
      <c r="D352" s="88"/>
      <c r="E352" s="88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88"/>
      <c r="AL352" s="88"/>
      <c r="AM352" s="88"/>
      <c r="AN352" s="88"/>
      <c r="AO352" s="88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  <c r="BA352" s="88"/>
      <c r="BB352" s="88"/>
      <c r="BC352" s="88"/>
      <c r="BD352" s="88"/>
    </row>
    <row r="353" spans="1:56" ht="12.55" x14ac:dyDescent="0.2">
      <c r="A353" s="88"/>
      <c r="B353" s="88"/>
      <c r="C353" s="88"/>
      <c r="D353" s="88"/>
      <c r="E353" s="88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88"/>
      <c r="AL353" s="88"/>
      <c r="AM353" s="88"/>
      <c r="AN353" s="88"/>
      <c r="AO353" s="88"/>
      <c r="AP353" s="88"/>
      <c r="AQ353" s="88"/>
      <c r="AR353" s="88"/>
      <c r="AS353" s="88"/>
      <c r="AT353" s="88"/>
      <c r="AU353" s="88"/>
      <c r="AV353" s="88"/>
      <c r="AW353" s="88"/>
      <c r="AX353" s="88"/>
      <c r="AY353" s="88"/>
      <c r="AZ353" s="88"/>
      <c r="BA353" s="88"/>
      <c r="BB353" s="88"/>
      <c r="BC353" s="88"/>
      <c r="BD353" s="88"/>
    </row>
    <row r="354" spans="1:56" ht="12.55" x14ac:dyDescent="0.2">
      <c r="A354" s="88"/>
      <c r="B354" s="88"/>
      <c r="C354" s="88"/>
      <c r="D354" s="88"/>
      <c r="E354" s="88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88"/>
      <c r="AL354" s="88"/>
      <c r="AM354" s="88"/>
      <c r="AN354" s="88"/>
      <c r="AO354" s="88"/>
      <c r="AP354" s="88"/>
      <c r="AQ354" s="88"/>
      <c r="AR354" s="88"/>
      <c r="AS354" s="88"/>
      <c r="AT354" s="88"/>
      <c r="AU354" s="88"/>
      <c r="AV354" s="88"/>
      <c r="AW354" s="88"/>
      <c r="AX354" s="88"/>
      <c r="AY354" s="88"/>
      <c r="AZ354" s="88"/>
      <c r="BA354" s="88"/>
      <c r="BB354" s="88"/>
      <c r="BC354" s="88"/>
      <c r="BD354" s="88"/>
    </row>
    <row r="355" spans="1:56" ht="12.55" x14ac:dyDescent="0.2">
      <c r="A355" s="88"/>
      <c r="B355" s="88"/>
      <c r="C355" s="88"/>
      <c r="D355" s="88"/>
      <c r="E355" s="88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88"/>
      <c r="AL355" s="88"/>
      <c r="AM355" s="88"/>
      <c r="AN355" s="88"/>
      <c r="AO355" s="88"/>
      <c r="AP355" s="88"/>
      <c r="AQ355" s="88"/>
      <c r="AR355" s="88"/>
      <c r="AS355" s="88"/>
      <c r="AT355" s="88"/>
      <c r="AU355" s="88"/>
      <c r="AV355" s="88"/>
      <c r="AW355" s="88"/>
      <c r="AX355" s="88"/>
      <c r="AY355" s="88"/>
      <c r="AZ355" s="88"/>
      <c r="BA355" s="88"/>
      <c r="BB355" s="88"/>
      <c r="BC355" s="88"/>
      <c r="BD355" s="88"/>
    </row>
    <row r="356" spans="1:56" ht="12.55" x14ac:dyDescent="0.2">
      <c r="A356" s="88"/>
      <c r="B356" s="88"/>
      <c r="C356" s="88"/>
      <c r="D356" s="88"/>
      <c r="E356" s="88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88"/>
      <c r="AL356" s="88"/>
      <c r="AM356" s="88"/>
      <c r="AN356" s="88"/>
      <c r="AO356" s="88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  <c r="BA356" s="88"/>
      <c r="BB356" s="88"/>
      <c r="BC356" s="88"/>
      <c r="BD356" s="88"/>
    </row>
    <row r="357" spans="1:56" ht="12.55" x14ac:dyDescent="0.2">
      <c r="A357" s="88"/>
      <c r="B357" s="88"/>
      <c r="C357" s="88"/>
      <c r="D357" s="88"/>
      <c r="E357" s="88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88"/>
      <c r="AL357" s="88"/>
      <c r="AM357" s="88"/>
      <c r="AN357" s="88"/>
      <c r="AO357" s="88"/>
      <c r="AP357" s="88"/>
      <c r="AQ357" s="88"/>
      <c r="AR357" s="88"/>
      <c r="AS357" s="88"/>
      <c r="AT357" s="88"/>
      <c r="AU357" s="88"/>
      <c r="AV357" s="88"/>
      <c r="AW357" s="88"/>
      <c r="AX357" s="88"/>
      <c r="AY357" s="88"/>
      <c r="AZ357" s="88"/>
      <c r="BA357" s="88"/>
      <c r="BB357" s="88"/>
      <c r="BC357" s="88"/>
      <c r="BD357" s="88"/>
    </row>
    <row r="358" spans="1:56" ht="12.55" x14ac:dyDescent="0.2">
      <c r="A358" s="88"/>
      <c r="B358" s="88"/>
      <c r="C358" s="88"/>
      <c r="D358" s="88"/>
      <c r="E358" s="88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88"/>
      <c r="AL358" s="88"/>
      <c r="AM358" s="88"/>
      <c r="AN358" s="88"/>
      <c r="AO358" s="88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  <c r="BA358" s="88"/>
      <c r="BB358" s="88"/>
      <c r="BC358" s="88"/>
      <c r="BD358" s="88"/>
    </row>
    <row r="359" spans="1:56" ht="12.55" x14ac:dyDescent="0.2">
      <c r="A359" s="88"/>
      <c r="B359" s="88"/>
      <c r="C359" s="88"/>
      <c r="D359" s="88"/>
      <c r="E359" s="88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88"/>
      <c r="AL359" s="88"/>
      <c r="AM359" s="88"/>
      <c r="AN359" s="88"/>
      <c r="AO359" s="88"/>
      <c r="AP359" s="88"/>
      <c r="AQ359" s="88"/>
      <c r="AR359" s="88"/>
      <c r="AS359" s="88"/>
      <c r="AT359" s="88"/>
      <c r="AU359" s="88"/>
      <c r="AV359" s="88"/>
      <c r="AW359" s="88"/>
      <c r="AX359" s="88"/>
      <c r="AY359" s="88"/>
      <c r="AZ359" s="88"/>
      <c r="BA359" s="88"/>
      <c r="BB359" s="88"/>
      <c r="BC359" s="88"/>
      <c r="BD359" s="88"/>
    </row>
    <row r="360" spans="1:56" ht="12.55" x14ac:dyDescent="0.2">
      <c r="A360" s="88"/>
      <c r="B360" s="88"/>
      <c r="C360" s="88"/>
      <c r="D360" s="88"/>
      <c r="E360" s="88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88"/>
      <c r="AL360" s="88"/>
      <c r="AM360" s="88"/>
      <c r="AN360" s="88"/>
      <c r="AO360" s="88"/>
      <c r="AP360" s="88"/>
      <c r="AQ360" s="88"/>
      <c r="AR360" s="88"/>
      <c r="AS360" s="88"/>
      <c r="AT360" s="88"/>
      <c r="AU360" s="88"/>
      <c r="AV360" s="88"/>
      <c r="AW360" s="88"/>
      <c r="AX360" s="88"/>
      <c r="AY360" s="88"/>
      <c r="AZ360" s="88"/>
      <c r="BA360" s="88"/>
      <c r="BB360" s="88"/>
      <c r="BC360" s="88"/>
      <c r="BD360" s="88"/>
    </row>
    <row r="361" spans="1:56" ht="12.55" x14ac:dyDescent="0.2">
      <c r="A361" s="88"/>
      <c r="B361" s="88"/>
      <c r="C361" s="88"/>
      <c r="D361" s="88"/>
      <c r="E361" s="88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88"/>
      <c r="AL361" s="88"/>
      <c r="AM361" s="88"/>
      <c r="AN361" s="88"/>
      <c r="AO361" s="88"/>
      <c r="AP361" s="88"/>
      <c r="AQ361" s="88"/>
      <c r="AR361" s="88"/>
      <c r="AS361" s="88"/>
      <c r="AT361" s="88"/>
      <c r="AU361" s="88"/>
      <c r="AV361" s="88"/>
      <c r="AW361" s="88"/>
      <c r="AX361" s="88"/>
      <c r="AY361" s="88"/>
      <c r="AZ361" s="88"/>
      <c r="BA361" s="88"/>
      <c r="BB361" s="88"/>
      <c r="BC361" s="88"/>
      <c r="BD361" s="88"/>
    </row>
    <row r="362" spans="1:56" ht="12.55" x14ac:dyDescent="0.2">
      <c r="A362" s="88"/>
      <c r="B362" s="88"/>
      <c r="C362" s="88"/>
      <c r="D362" s="88"/>
      <c r="E362" s="88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88"/>
      <c r="AL362" s="88"/>
      <c r="AM362" s="88"/>
      <c r="AN362" s="88"/>
      <c r="AO362" s="88"/>
      <c r="AP362" s="88"/>
      <c r="AQ362" s="88"/>
      <c r="AR362" s="88"/>
      <c r="AS362" s="88"/>
      <c r="AT362" s="88"/>
      <c r="AU362" s="88"/>
      <c r="AV362" s="88"/>
      <c r="AW362" s="88"/>
      <c r="AX362" s="88"/>
      <c r="AY362" s="88"/>
      <c r="AZ362" s="88"/>
      <c r="BA362" s="88"/>
      <c r="BB362" s="88"/>
      <c r="BC362" s="88"/>
      <c r="BD362" s="88"/>
    </row>
    <row r="363" spans="1:56" ht="12.55" x14ac:dyDescent="0.2">
      <c r="A363" s="88"/>
      <c r="B363" s="88"/>
      <c r="C363" s="88"/>
      <c r="D363" s="88"/>
      <c r="E363" s="88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88"/>
      <c r="AL363" s="88"/>
      <c r="AM363" s="88"/>
      <c r="AN363" s="88"/>
      <c r="AO363" s="88"/>
      <c r="AP363" s="88"/>
      <c r="AQ363" s="88"/>
      <c r="AR363" s="88"/>
      <c r="AS363" s="88"/>
      <c r="AT363" s="88"/>
      <c r="AU363" s="88"/>
      <c r="AV363" s="88"/>
      <c r="AW363" s="88"/>
      <c r="AX363" s="88"/>
      <c r="AY363" s="88"/>
      <c r="AZ363" s="88"/>
      <c r="BA363" s="88"/>
      <c r="BB363" s="88"/>
      <c r="BC363" s="88"/>
      <c r="BD363" s="88"/>
    </row>
    <row r="364" spans="1:56" ht="12.55" x14ac:dyDescent="0.2">
      <c r="A364" s="88"/>
      <c r="B364" s="88"/>
      <c r="C364" s="88"/>
      <c r="D364" s="88"/>
      <c r="E364" s="88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88"/>
      <c r="AL364" s="88"/>
      <c r="AM364" s="88"/>
      <c r="AN364" s="88"/>
      <c r="AO364" s="88"/>
      <c r="AP364" s="88"/>
      <c r="AQ364" s="88"/>
      <c r="AR364" s="88"/>
      <c r="AS364" s="88"/>
      <c r="AT364" s="88"/>
      <c r="AU364" s="88"/>
      <c r="AV364" s="88"/>
      <c r="AW364" s="88"/>
      <c r="AX364" s="88"/>
      <c r="AY364" s="88"/>
      <c r="AZ364" s="88"/>
      <c r="BA364" s="88"/>
      <c r="BB364" s="88"/>
      <c r="BC364" s="88"/>
      <c r="BD364" s="88"/>
    </row>
    <row r="365" spans="1:56" ht="12.55" x14ac:dyDescent="0.2">
      <c r="A365" s="88"/>
      <c r="B365" s="88"/>
      <c r="C365" s="88"/>
      <c r="D365" s="88"/>
      <c r="E365" s="88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88"/>
      <c r="AL365" s="88"/>
      <c r="AM365" s="88"/>
      <c r="AN365" s="88"/>
      <c r="AO365" s="88"/>
      <c r="AP365" s="88"/>
      <c r="AQ365" s="88"/>
      <c r="AR365" s="88"/>
      <c r="AS365" s="88"/>
      <c r="AT365" s="88"/>
      <c r="AU365" s="88"/>
      <c r="AV365" s="88"/>
      <c r="AW365" s="88"/>
      <c r="AX365" s="88"/>
      <c r="AY365" s="88"/>
      <c r="AZ365" s="88"/>
      <c r="BA365" s="88"/>
      <c r="BB365" s="88"/>
      <c r="BC365" s="88"/>
      <c r="BD365" s="88"/>
    </row>
    <row r="366" spans="1:56" ht="12.55" x14ac:dyDescent="0.2">
      <c r="A366" s="88"/>
      <c r="B366" s="88"/>
      <c r="C366" s="88"/>
      <c r="D366" s="88"/>
      <c r="E366" s="88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88"/>
      <c r="AL366" s="88"/>
      <c r="AM366" s="88"/>
      <c r="AN366" s="88"/>
      <c r="AO366" s="88"/>
      <c r="AP366" s="88"/>
      <c r="AQ366" s="88"/>
      <c r="AR366" s="88"/>
      <c r="AS366" s="88"/>
      <c r="AT366" s="88"/>
      <c r="AU366" s="88"/>
      <c r="AV366" s="88"/>
      <c r="AW366" s="88"/>
      <c r="AX366" s="88"/>
      <c r="AY366" s="88"/>
      <c r="AZ366" s="88"/>
      <c r="BA366" s="88"/>
      <c r="BB366" s="88"/>
      <c r="BC366" s="88"/>
      <c r="BD366" s="88"/>
    </row>
    <row r="367" spans="1:56" ht="12.55" x14ac:dyDescent="0.2">
      <c r="A367" s="88"/>
      <c r="B367" s="88"/>
      <c r="C367" s="88"/>
      <c r="D367" s="88"/>
      <c r="E367" s="88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88"/>
      <c r="AL367" s="88"/>
      <c r="AM367" s="88"/>
      <c r="AN367" s="88"/>
      <c r="AO367" s="88"/>
      <c r="AP367" s="88"/>
      <c r="AQ367" s="88"/>
      <c r="AR367" s="88"/>
      <c r="AS367" s="88"/>
      <c r="AT367" s="88"/>
      <c r="AU367" s="88"/>
      <c r="AV367" s="88"/>
      <c r="AW367" s="88"/>
      <c r="AX367" s="88"/>
      <c r="AY367" s="88"/>
      <c r="AZ367" s="88"/>
      <c r="BA367" s="88"/>
      <c r="BB367" s="88"/>
      <c r="BC367" s="88"/>
      <c r="BD367" s="88"/>
    </row>
    <row r="368" spans="1:56" ht="12.55" x14ac:dyDescent="0.2">
      <c r="A368" s="88"/>
      <c r="B368" s="88"/>
      <c r="C368" s="88"/>
      <c r="D368" s="88"/>
      <c r="E368" s="88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88"/>
      <c r="AL368" s="88"/>
      <c r="AM368" s="88"/>
      <c r="AN368" s="88"/>
      <c r="AO368" s="88"/>
      <c r="AP368" s="88"/>
      <c r="AQ368" s="88"/>
      <c r="AR368" s="88"/>
      <c r="AS368" s="88"/>
      <c r="AT368" s="88"/>
      <c r="AU368" s="88"/>
      <c r="AV368" s="88"/>
      <c r="AW368" s="88"/>
      <c r="AX368" s="88"/>
      <c r="AY368" s="88"/>
      <c r="AZ368" s="88"/>
      <c r="BA368" s="88"/>
      <c r="BB368" s="88"/>
      <c r="BC368" s="88"/>
      <c r="BD368" s="88"/>
    </row>
    <row r="369" spans="1:56" ht="12.55" x14ac:dyDescent="0.2">
      <c r="A369" s="88"/>
      <c r="B369" s="88"/>
      <c r="C369" s="88"/>
      <c r="D369" s="88"/>
      <c r="E369" s="88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88"/>
      <c r="AL369" s="88"/>
      <c r="AM369" s="88"/>
      <c r="AN369" s="88"/>
      <c r="AO369" s="88"/>
      <c r="AP369" s="88"/>
      <c r="AQ369" s="88"/>
      <c r="AR369" s="88"/>
      <c r="AS369" s="88"/>
      <c r="AT369" s="88"/>
      <c r="AU369" s="88"/>
      <c r="AV369" s="88"/>
      <c r="AW369" s="88"/>
      <c r="AX369" s="88"/>
      <c r="AY369" s="88"/>
      <c r="AZ369" s="88"/>
      <c r="BA369" s="88"/>
      <c r="BB369" s="88"/>
      <c r="BC369" s="88"/>
      <c r="BD369" s="88"/>
    </row>
    <row r="370" spans="1:56" ht="12.55" x14ac:dyDescent="0.2">
      <c r="A370" s="88"/>
      <c r="B370" s="88"/>
      <c r="C370" s="88"/>
      <c r="D370" s="88"/>
      <c r="E370" s="88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88"/>
      <c r="AL370" s="88"/>
      <c r="AM370" s="88"/>
      <c r="AN370" s="88"/>
      <c r="AO370" s="88"/>
      <c r="AP370" s="88"/>
      <c r="AQ370" s="88"/>
      <c r="AR370" s="88"/>
      <c r="AS370" s="88"/>
      <c r="AT370" s="88"/>
      <c r="AU370" s="88"/>
      <c r="AV370" s="88"/>
      <c r="AW370" s="88"/>
      <c r="AX370" s="88"/>
      <c r="AY370" s="88"/>
      <c r="AZ370" s="88"/>
      <c r="BA370" s="88"/>
      <c r="BB370" s="88"/>
      <c r="BC370" s="88"/>
      <c r="BD370" s="88"/>
    </row>
    <row r="371" spans="1:56" ht="12.55" x14ac:dyDescent="0.2">
      <c r="A371" s="88"/>
      <c r="B371" s="88"/>
      <c r="C371" s="88"/>
      <c r="D371" s="88"/>
      <c r="E371" s="88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88"/>
      <c r="AL371" s="88"/>
      <c r="AM371" s="88"/>
      <c r="AN371" s="88"/>
      <c r="AO371" s="88"/>
      <c r="AP371" s="88"/>
      <c r="AQ371" s="88"/>
      <c r="AR371" s="88"/>
      <c r="AS371" s="88"/>
      <c r="AT371" s="88"/>
      <c r="AU371" s="88"/>
      <c r="AV371" s="88"/>
      <c r="AW371" s="88"/>
      <c r="AX371" s="88"/>
      <c r="AY371" s="88"/>
      <c r="AZ371" s="88"/>
      <c r="BA371" s="88"/>
      <c r="BB371" s="88"/>
      <c r="BC371" s="88"/>
      <c r="BD371" s="88"/>
    </row>
    <row r="372" spans="1:56" ht="12.55" x14ac:dyDescent="0.2">
      <c r="A372" s="88"/>
      <c r="B372" s="88"/>
      <c r="C372" s="88"/>
      <c r="D372" s="88"/>
      <c r="E372" s="88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88"/>
      <c r="AL372" s="88"/>
      <c r="AM372" s="88"/>
      <c r="AN372" s="88"/>
      <c r="AO372" s="88"/>
      <c r="AP372" s="88"/>
      <c r="AQ372" s="88"/>
      <c r="AR372" s="88"/>
      <c r="AS372" s="88"/>
      <c r="AT372" s="88"/>
      <c r="AU372" s="88"/>
      <c r="AV372" s="88"/>
      <c r="AW372" s="88"/>
      <c r="AX372" s="88"/>
      <c r="AY372" s="88"/>
      <c r="AZ372" s="88"/>
      <c r="BA372" s="88"/>
      <c r="BB372" s="88"/>
      <c r="BC372" s="88"/>
      <c r="BD372" s="88"/>
    </row>
    <row r="373" spans="1:56" ht="12.55" x14ac:dyDescent="0.2">
      <c r="A373" s="88"/>
      <c r="B373" s="88"/>
      <c r="C373" s="88"/>
      <c r="D373" s="88"/>
      <c r="E373" s="88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88"/>
      <c r="AL373" s="88"/>
      <c r="AM373" s="88"/>
      <c r="AN373" s="88"/>
      <c r="AO373" s="88"/>
      <c r="AP373" s="88"/>
      <c r="AQ373" s="88"/>
      <c r="AR373" s="88"/>
      <c r="AS373" s="88"/>
      <c r="AT373" s="88"/>
      <c r="AU373" s="88"/>
      <c r="AV373" s="88"/>
      <c r="AW373" s="88"/>
      <c r="AX373" s="88"/>
      <c r="AY373" s="88"/>
      <c r="AZ373" s="88"/>
      <c r="BA373" s="88"/>
      <c r="BB373" s="88"/>
      <c r="BC373" s="88"/>
      <c r="BD373" s="88"/>
    </row>
    <row r="374" spans="1:56" ht="12.55" x14ac:dyDescent="0.2">
      <c r="A374" s="88"/>
      <c r="B374" s="88"/>
      <c r="C374" s="88"/>
      <c r="D374" s="88"/>
      <c r="E374" s="88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88"/>
      <c r="AL374" s="88"/>
      <c r="AM374" s="88"/>
      <c r="AN374" s="88"/>
      <c r="AO374" s="88"/>
      <c r="AP374" s="88"/>
      <c r="AQ374" s="88"/>
      <c r="AR374" s="88"/>
      <c r="AS374" s="88"/>
      <c r="AT374" s="88"/>
      <c r="AU374" s="88"/>
      <c r="AV374" s="88"/>
      <c r="AW374" s="88"/>
      <c r="AX374" s="88"/>
      <c r="AY374" s="88"/>
      <c r="AZ374" s="88"/>
      <c r="BA374" s="88"/>
      <c r="BB374" s="88"/>
      <c r="BC374" s="88"/>
      <c r="BD374" s="88"/>
    </row>
    <row r="375" spans="1:56" ht="12.55" x14ac:dyDescent="0.2">
      <c r="A375" s="88"/>
      <c r="B375" s="88"/>
      <c r="C375" s="88"/>
      <c r="D375" s="88"/>
      <c r="E375" s="88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88"/>
      <c r="AL375" s="88"/>
      <c r="AM375" s="88"/>
      <c r="AN375" s="88"/>
      <c r="AO375" s="88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  <c r="BA375" s="88"/>
      <c r="BB375" s="88"/>
      <c r="BC375" s="88"/>
      <c r="BD375" s="88"/>
    </row>
    <row r="376" spans="1:56" ht="12.55" x14ac:dyDescent="0.2">
      <c r="A376" s="88"/>
      <c r="B376" s="88"/>
      <c r="C376" s="88"/>
      <c r="D376" s="88"/>
      <c r="E376" s="88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88"/>
      <c r="AL376" s="88"/>
      <c r="AM376" s="88"/>
      <c r="AN376" s="88"/>
      <c r="AO376" s="88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  <c r="BA376" s="88"/>
      <c r="BB376" s="88"/>
      <c r="BC376" s="88"/>
      <c r="BD376" s="88"/>
    </row>
    <row r="377" spans="1:56" ht="12.55" x14ac:dyDescent="0.2">
      <c r="A377" s="88"/>
      <c r="B377" s="88"/>
      <c r="C377" s="88"/>
      <c r="D377" s="88"/>
      <c r="E377" s="88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88"/>
      <c r="AL377" s="88"/>
      <c r="AM377" s="88"/>
      <c r="AN377" s="88"/>
      <c r="AO377" s="88"/>
      <c r="AP377" s="88"/>
      <c r="AQ377" s="88"/>
      <c r="AR377" s="88"/>
      <c r="AS377" s="88"/>
      <c r="AT377" s="88"/>
      <c r="AU377" s="88"/>
      <c r="AV377" s="88"/>
      <c r="AW377" s="88"/>
      <c r="AX377" s="88"/>
      <c r="AY377" s="88"/>
      <c r="AZ377" s="88"/>
      <c r="BA377" s="88"/>
      <c r="BB377" s="88"/>
      <c r="BC377" s="88"/>
      <c r="BD377" s="88"/>
    </row>
    <row r="378" spans="1:56" ht="12.55" x14ac:dyDescent="0.2">
      <c r="A378" s="88"/>
      <c r="B378" s="88"/>
      <c r="C378" s="88"/>
      <c r="D378" s="88"/>
      <c r="E378" s="88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88"/>
      <c r="AL378" s="88"/>
      <c r="AM378" s="88"/>
      <c r="AN378" s="88"/>
      <c r="AO378" s="88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  <c r="BA378" s="88"/>
      <c r="BB378" s="88"/>
      <c r="BC378" s="88"/>
      <c r="BD378" s="88"/>
    </row>
    <row r="379" spans="1:56" ht="12.55" x14ac:dyDescent="0.2">
      <c r="A379" s="88"/>
      <c r="B379" s="88"/>
      <c r="C379" s="88"/>
      <c r="D379" s="88"/>
      <c r="E379" s="88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88"/>
      <c r="AL379" s="88"/>
      <c r="AM379" s="88"/>
      <c r="AN379" s="88"/>
      <c r="AO379" s="88"/>
      <c r="AP379" s="88"/>
      <c r="AQ379" s="88"/>
      <c r="AR379" s="88"/>
      <c r="AS379" s="88"/>
      <c r="AT379" s="88"/>
      <c r="AU379" s="88"/>
      <c r="AV379" s="88"/>
      <c r="AW379" s="88"/>
      <c r="AX379" s="88"/>
      <c r="AY379" s="88"/>
      <c r="AZ379" s="88"/>
      <c r="BA379" s="88"/>
      <c r="BB379" s="88"/>
      <c r="BC379" s="88"/>
      <c r="BD379" s="88"/>
    </row>
    <row r="380" spans="1:56" ht="12.55" x14ac:dyDescent="0.2">
      <c r="A380" s="88"/>
      <c r="B380" s="88"/>
      <c r="C380" s="88"/>
      <c r="D380" s="88"/>
      <c r="E380" s="88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88"/>
      <c r="AL380" s="88"/>
      <c r="AM380" s="88"/>
      <c r="AN380" s="88"/>
      <c r="AO380" s="88"/>
      <c r="AP380" s="88"/>
      <c r="AQ380" s="88"/>
      <c r="AR380" s="88"/>
      <c r="AS380" s="88"/>
      <c r="AT380" s="88"/>
      <c r="AU380" s="88"/>
      <c r="AV380" s="88"/>
      <c r="AW380" s="88"/>
      <c r="AX380" s="88"/>
      <c r="AY380" s="88"/>
      <c r="AZ380" s="88"/>
      <c r="BA380" s="88"/>
      <c r="BB380" s="88"/>
      <c r="BC380" s="88"/>
      <c r="BD380" s="88"/>
    </row>
    <row r="381" spans="1:56" ht="12.55" x14ac:dyDescent="0.2">
      <c r="A381" s="88"/>
      <c r="B381" s="88"/>
      <c r="C381" s="88"/>
      <c r="D381" s="88"/>
      <c r="E381" s="88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88"/>
      <c r="AL381" s="88"/>
      <c r="AM381" s="88"/>
      <c r="AN381" s="88"/>
      <c r="AO381" s="88"/>
      <c r="AP381" s="88"/>
      <c r="AQ381" s="88"/>
      <c r="AR381" s="88"/>
      <c r="AS381" s="88"/>
      <c r="AT381" s="88"/>
      <c r="AU381" s="88"/>
      <c r="AV381" s="88"/>
      <c r="AW381" s="88"/>
      <c r="AX381" s="88"/>
      <c r="AY381" s="88"/>
      <c r="AZ381" s="88"/>
      <c r="BA381" s="88"/>
      <c r="BB381" s="88"/>
      <c r="BC381" s="88"/>
      <c r="BD381" s="88"/>
    </row>
    <row r="382" spans="1:56" ht="12.55" x14ac:dyDescent="0.2">
      <c r="A382" s="88"/>
      <c r="B382" s="88"/>
      <c r="C382" s="88"/>
      <c r="D382" s="88"/>
      <c r="E382" s="88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88"/>
      <c r="AL382" s="88"/>
      <c r="AM382" s="88"/>
      <c r="AN382" s="88"/>
      <c r="AO382" s="88"/>
      <c r="AP382" s="88"/>
      <c r="AQ382" s="88"/>
      <c r="AR382" s="88"/>
      <c r="AS382" s="88"/>
      <c r="AT382" s="88"/>
      <c r="AU382" s="88"/>
      <c r="AV382" s="88"/>
      <c r="AW382" s="88"/>
      <c r="AX382" s="88"/>
      <c r="AY382" s="88"/>
      <c r="AZ382" s="88"/>
      <c r="BA382" s="88"/>
      <c r="BB382" s="88"/>
      <c r="BC382" s="88"/>
      <c r="BD382" s="88"/>
    </row>
    <row r="383" spans="1:56" ht="12.55" x14ac:dyDescent="0.2">
      <c r="A383" s="88"/>
      <c r="B383" s="88"/>
      <c r="C383" s="88"/>
      <c r="D383" s="88"/>
      <c r="E383" s="88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88"/>
      <c r="AL383" s="88"/>
      <c r="AM383" s="88"/>
      <c r="AN383" s="88"/>
      <c r="AO383" s="88"/>
      <c r="AP383" s="88"/>
      <c r="AQ383" s="88"/>
      <c r="AR383" s="88"/>
      <c r="AS383" s="88"/>
      <c r="AT383" s="88"/>
      <c r="AU383" s="88"/>
      <c r="AV383" s="88"/>
      <c r="AW383" s="88"/>
      <c r="AX383" s="88"/>
      <c r="AY383" s="88"/>
      <c r="AZ383" s="88"/>
      <c r="BA383" s="88"/>
      <c r="BB383" s="88"/>
      <c r="BC383" s="88"/>
      <c r="BD383" s="88"/>
    </row>
    <row r="384" spans="1:56" ht="12.55" x14ac:dyDescent="0.2">
      <c r="A384" s="88"/>
      <c r="B384" s="88"/>
      <c r="C384" s="88"/>
      <c r="D384" s="88"/>
      <c r="E384" s="88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88"/>
      <c r="AL384" s="88"/>
      <c r="AM384" s="88"/>
      <c r="AN384" s="88"/>
      <c r="AO384" s="88"/>
      <c r="AP384" s="88"/>
      <c r="AQ384" s="88"/>
      <c r="AR384" s="88"/>
      <c r="AS384" s="88"/>
      <c r="AT384" s="88"/>
      <c r="AU384" s="88"/>
      <c r="AV384" s="88"/>
      <c r="AW384" s="88"/>
      <c r="AX384" s="88"/>
      <c r="AY384" s="88"/>
      <c r="AZ384" s="88"/>
      <c r="BA384" s="88"/>
      <c r="BB384" s="88"/>
      <c r="BC384" s="88"/>
      <c r="BD384" s="88"/>
    </row>
    <row r="385" spans="1:56" ht="12.55" x14ac:dyDescent="0.2">
      <c r="A385" s="88"/>
      <c r="B385" s="88"/>
      <c r="C385" s="88"/>
      <c r="D385" s="88"/>
      <c r="E385" s="88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88"/>
      <c r="AL385" s="88"/>
      <c r="AM385" s="88"/>
      <c r="AN385" s="88"/>
      <c r="AO385" s="88"/>
      <c r="AP385" s="88"/>
      <c r="AQ385" s="88"/>
      <c r="AR385" s="88"/>
      <c r="AS385" s="88"/>
      <c r="AT385" s="88"/>
      <c r="AU385" s="88"/>
      <c r="AV385" s="88"/>
      <c r="AW385" s="88"/>
      <c r="AX385" s="88"/>
      <c r="AY385" s="88"/>
      <c r="AZ385" s="88"/>
      <c r="BA385" s="88"/>
      <c r="BB385" s="88"/>
      <c r="BC385" s="88"/>
      <c r="BD385" s="88"/>
    </row>
    <row r="386" spans="1:56" ht="12.55" x14ac:dyDescent="0.2">
      <c r="A386" s="88"/>
      <c r="B386" s="88"/>
      <c r="C386" s="88"/>
      <c r="D386" s="88"/>
      <c r="E386" s="88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88"/>
      <c r="AL386" s="88"/>
      <c r="AM386" s="88"/>
      <c r="AN386" s="88"/>
      <c r="AO386" s="88"/>
      <c r="AP386" s="88"/>
      <c r="AQ386" s="88"/>
      <c r="AR386" s="88"/>
      <c r="AS386" s="88"/>
      <c r="AT386" s="88"/>
      <c r="AU386" s="88"/>
      <c r="AV386" s="88"/>
      <c r="AW386" s="88"/>
      <c r="AX386" s="88"/>
      <c r="AY386" s="88"/>
      <c r="AZ386" s="88"/>
      <c r="BA386" s="88"/>
      <c r="BB386" s="88"/>
      <c r="BC386" s="88"/>
      <c r="BD386" s="88"/>
    </row>
    <row r="387" spans="1:56" ht="12.55" x14ac:dyDescent="0.2">
      <c r="A387" s="88"/>
      <c r="B387" s="88"/>
      <c r="C387" s="88"/>
      <c r="D387" s="88"/>
      <c r="E387" s="88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  <c r="AW387" s="88"/>
      <c r="AX387" s="88"/>
      <c r="AY387" s="88"/>
      <c r="AZ387" s="88"/>
      <c r="BA387" s="88"/>
      <c r="BB387" s="88"/>
      <c r="BC387" s="88"/>
      <c r="BD387" s="88"/>
    </row>
    <row r="388" spans="1:56" ht="12.55" x14ac:dyDescent="0.2">
      <c r="A388" s="88"/>
      <c r="B388" s="88"/>
      <c r="C388" s="88"/>
      <c r="D388" s="88"/>
      <c r="E388" s="88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88"/>
      <c r="AL388" s="88"/>
      <c r="AM388" s="88"/>
      <c r="AN388" s="88"/>
      <c r="AO388" s="88"/>
      <c r="AP388" s="88"/>
      <c r="AQ388" s="88"/>
      <c r="AR388" s="88"/>
      <c r="AS388" s="88"/>
      <c r="AT388" s="88"/>
      <c r="AU388" s="88"/>
      <c r="AV388" s="88"/>
      <c r="AW388" s="88"/>
      <c r="AX388" s="88"/>
      <c r="AY388" s="88"/>
      <c r="AZ388" s="88"/>
      <c r="BA388" s="88"/>
      <c r="BB388" s="88"/>
      <c r="BC388" s="88"/>
      <c r="BD388" s="88"/>
    </row>
    <row r="389" spans="1:56" ht="12.55" x14ac:dyDescent="0.2">
      <c r="A389" s="88"/>
      <c r="B389" s="88"/>
      <c r="C389" s="88"/>
      <c r="D389" s="88"/>
      <c r="E389" s="88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  <c r="AW389" s="88"/>
      <c r="AX389" s="88"/>
      <c r="AY389" s="88"/>
      <c r="AZ389" s="88"/>
      <c r="BA389" s="88"/>
      <c r="BB389" s="88"/>
      <c r="BC389" s="88"/>
      <c r="BD389" s="88"/>
    </row>
    <row r="390" spans="1:56" ht="12.55" x14ac:dyDescent="0.2">
      <c r="A390" s="88"/>
      <c r="B390" s="88"/>
      <c r="C390" s="88"/>
      <c r="D390" s="88"/>
      <c r="E390" s="88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  <c r="AW390" s="88"/>
      <c r="AX390" s="88"/>
      <c r="AY390" s="88"/>
      <c r="AZ390" s="88"/>
      <c r="BA390" s="88"/>
      <c r="BB390" s="88"/>
      <c r="BC390" s="88"/>
      <c r="BD390" s="88"/>
    </row>
    <row r="391" spans="1:56" ht="12.55" x14ac:dyDescent="0.2">
      <c r="A391" s="88"/>
      <c r="B391" s="88"/>
      <c r="C391" s="88"/>
      <c r="D391" s="88"/>
      <c r="E391" s="88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88"/>
      <c r="AL391" s="88"/>
      <c r="AM391" s="88"/>
      <c r="AN391" s="88"/>
      <c r="AO391" s="88"/>
      <c r="AP391" s="88"/>
      <c r="AQ391" s="88"/>
      <c r="AR391" s="88"/>
      <c r="AS391" s="88"/>
      <c r="AT391" s="88"/>
      <c r="AU391" s="88"/>
      <c r="AV391" s="88"/>
      <c r="AW391" s="88"/>
      <c r="AX391" s="88"/>
      <c r="AY391" s="88"/>
      <c r="AZ391" s="88"/>
      <c r="BA391" s="88"/>
      <c r="BB391" s="88"/>
      <c r="BC391" s="88"/>
      <c r="BD391" s="88"/>
    </row>
    <row r="392" spans="1:56" ht="12.55" x14ac:dyDescent="0.2">
      <c r="A392" s="88"/>
      <c r="B392" s="88"/>
      <c r="C392" s="88"/>
      <c r="D392" s="88"/>
      <c r="E392" s="88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88"/>
      <c r="AL392" s="88"/>
      <c r="AM392" s="88"/>
      <c r="AN392" s="88"/>
      <c r="AO392" s="88"/>
      <c r="AP392" s="88"/>
      <c r="AQ392" s="88"/>
      <c r="AR392" s="88"/>
      <c r="AS392" s="88"/>
      <c r="AT392" s="88"/>
      <c r="AU392" s="88"/>
      <c r="AV392" s="88"/>
      <c r="AW392" s="88"/>
      <c r="AX392" s="88"/>
      <c r="AY392" s="88"/>
      <c r="AZ392" s="88"/>
      <c r="BA392" s="88"/>
      <c r="BB392" s="88"/>
      <c r="BC392" s="88"/>
      <c r="BD392" s="88"/>
    </row>
    <row r="393" spans="1:56" ht="12.55" x14ac:dyDescent="0.2">
      <c r="A393" s="88"/>
      <c r="B393" s="88"/>
      <c r="C393" s="88"/>
      <c r="D393" s="88"/>
      <c r="E393" s="88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88"/>
      <c r="AL393" s="88"/>
      <c r="AM393" s="88"/>
      <c r="AN393" s="88"/>
      <c r="AO393" s="88"/>
      <c r="AP393" s="88"/>
      <c r="AQ393" s="88"/>
      <c r="AR393" s="88"/>
      <c r="AS393" s="88"/>
      <c r="AT393" s="88"/>
      <c r="AU393" s="88"/>
      <c r="AV393" s="88"/>
      <c r="AW393" s="88"/>
      <c r="AX393" s="88"/>
      <c r="AY393" s="88"/>
      <c r="AZ393" s="88"/>
      <c r="BA393" s="88"/>
      <c r="BB393" s="88"/>
      <c r="BC393" s="88"/>
      <c r="BD393" s="88"/>
    </row>
    <row r="394" spans="1:56" ht="12.55" x14ac:dyDescent="0.2">
      <c r="A394" s="88"/>
      <c r="B394" s="88"/>
      <c r="C394" s="88"/>
      <c r="D394" s="88"/>
      <c r="E394" s="88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88"/>
      <c r="AL394" s="88"/>
      <c r="AM394" s="88"/>
      <c r="AN394" s="88"/>
      <c r="AO394" s="88"/>
      <c r="AP394" s="88"/>
      <c r="AQ394" s="88"/>
      <c r="AR394" s="88"/>
      <c r="AS394" s="88"/>
      <c r="AT394" s="88"/>
      <c r="AU394" s="88"/>
      <c r="AV394" s="88"/>
      <c r="AW394" s="88"/>
      <c r="AX394" s="88"/>
      <c r="AY394" s="88"/>
      <c r="AZ394" s="88"/>
      <c r="BA394" s="88"/>
      <c r="BB394" s="88"/>
      <c r="BC394" s="88"/>
      <c r="BD394" s="88"/>
    </row>
    <row r="395" spans="1:56" ht="12.55" x14ac:dyDescent="0.2">
      <c r="A395" s="88"/>
      <c r="B395" s="88"/>
      <c r="C395" s="88"/>
      <c r="D395" s="88"/>
      <c r="E395" s="88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88"/>
      <c r="AL395" s="88"/>
      <c r="AM395" s="88"/>
      <c r="AN395" s="88"/>
      <c r="AO395" s="88"/>
      <c r="AP395" s="88"/>
      <c r="AQ395" s="88"/>
      <c r="AR395" s="88"/>
      <c r="AS395" s="88"/>
      <c r="AT395" s="88"/>
      <c r="AU395" s="88"/>
      <c r="AV395" s="88"/>
      <c r="AW395" s="88"/>
      <c r="AX395" s="88"/>
      <c r="AY395" s="88"/>
      <c r="AZ395" s="88"/>
      <c r="BA395" s="88"/>
      <c r="BB395" s="88"/>
      <c r="BC395" s="88"/>
      <c r="BD395" s="88"/>
    </row>
    <row r="396" spans="1:56" ht="12.55" x14ac:dyDescent="0.2">
      <c r="A396" s="88"/>
      <c r="B396" s="88"/>
      <c r="C396" s="88"/>
      <c r="D396" s="88"/>
      <c r="E396" s="88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88"/>
      <c r="AL396" s="88"/>
      <c r="AM396" s="88"/>
      <c r="AN396" s="88"/>
      <c r="AO396" s="88"/>
      <c r="AP396" s="88"/>
      <c r="AQ396" s="88"/>
      <c r="AR396" s="88"/>
      <c r="AS396" s="88"/>
      <c r="AT396" s="88"/>
      <c r="AU396" s="88"/>
      <c r="AV396" s="88"/>
      <c r="AW396" s="88"/>
      <c r="AX396" s="88"/>
      <c r="AY396" s="88"/>
      <c r="AZ396" s="88"/>
      <c r="BA396" s="88"/>
      <c r="BB396" s="88"/>
      <c r="BC396" s="88"/>
      <c r="BD396" s="88"/>
    </row>
    <row r="397" spans="1:56" ht="12.55" x14ac:dyDescent="0.2">
      <c r="A397" s="88"/>
      <c r="B397" s="88"/>
      <c r="C397" s="88"/>
      <c r="D397" s="88"/>
      <c r="E397" s="88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88"/>
      <c r="AL397" s="88"/>
      <c r="AM397" s="88"/>
      <c r="AN397" s="88"/>
      <c r="AO397" s="88"/>
      <c r="AP397" s="88"/>
      <c r="AQ397" s="88"/>
      <c r="AR397" s="88"/>
      <c r="AS397" s="88"/>
      <c r="AT397" s="88"/>
      <c r="AU397" s="88"/>
      <c r="AV397" s="88"/>
      <c r="AW397" s="88"/>
      <c r="AX397" s="88"/>
      <c r="AY397" s="88"/>
      <c r="AZ397" s="88"/>
      <c r="BA397" s="88"/>
      <c r="BB397" s="88"/>
      <c r="BC397" s="88"/>
      <c r="BD397" s="88"/>
    </row>
    <row r="398" spans="1:56" ht="12.55" x14ac:dyDescent="0.2">
      <c r="A398" s="88"/>
      <c r="B398" s="88"/>
      <c r="C398" s="88"/>
      <c r="D398" s="88"/>
      <c r="E398" s="88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88"/>
      <c r="AL398" s="88"/>
      <c r="AM398" s="88"/>
      <c r="AN398" s="88"/>
      <c r="AO398" s="88"/>
      <c r="AP398" s="88"/>
      <c r="AQ398" s="88"/>
      <c r="AR398" s="88"/>
      <c r="AS398" s="88"/>
      <c r="AT398" s="88"/>
      <c r="AU398" s="88"/>
      <c r="AV398" s="88"/>
      <c r="AW398" s="88"/>
      <c r="AX398" s="88"/>
      <c r="AY398" s="88"/>
      <c r="AZ398" s="88"/>
      <c r="BA398" s="88"/>
      <c r="BB398" s="88"/>
      <c r="BC398" s="88"/>
      <c r="BD398" s="88"/>
    </row>
    <row r="399" spans="1:56" ht="12.55" x14ac:dyDescent="0.2">
      <c r="A399" s="88"/>
      <c r="B399" s="88"/>
      <c r="C399" s="88"/>
      <c r="D399" s="88"/>
      <c r="E399" s="88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88"/>
      <c r="AL399" s="88"/>
      <c r="AM399" s="88"/>
      <c r="AN399" s="88"/>
      <c r="AO399" s="88"/>
      <c r="AP399" s="88"/>
      <c r="AQ399" s="88"/>
      <c r="AR399" s="88"/>
      <c r="AS399" s="88"/>
      <c r="AT399" s="88"/>
      <c r="AU399" s="88"/>
      <c r="AV399" s="88"/>
      <c r="AW399" s="88"/>
      <c r="AX399" s="88"/>
      <c r="AY399" s="88"/>
      <c r="AZ399" s="88"/>
      <c r="BA399" s="88"/>
      <c r="BB399" s="88"/>
      <c r="BC399" s="88"/>
      <c r="BD399" s="88"/>
    </row>
    <row r="400" spans="1:56" ht="12.55" x14ac:dyDescent="0.2">
      <c r="A400" s="88"/>
      <c r="B400" s="88"/>
      <c r="C400" s="88"/>
      <c r="D400" s="88"/>
      <c r="E400" s="88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s="88"/>
      <c r="AZ400" s="88"/>
      <c r="BA400" s="88"/>
      <c r="BB400" s="88"/>
      <c r="BC400" s="88"/>
      <c r="BD400" s="88"/>
    </row>
    <row r="401" spans="1:56" ht="12.55" x14ac:dyDescent="0.2">
      <c r="A401" s="88"/>
      <c r="B401" s="88"/>
      <c r="C401" s="88"/>
      <c r="D401" s="88"/>
      <c r="E401" s="88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88"/>
      <c r="AL401" s="88"/>
      <c r="AM401" s="88"/>
      <c r="AN401" s="88"/>
      <c r="AO401" s="88"/>
      <c r="AP401" s="88"/>
      <c r="AQ401" s="88"/>
      <c r="AR401" s="88"/>
      <c r="AS401" s="88"/>
      <c r="AT401" s="88"/>
      <c r="AU401" s="88"/>
      <c r="AV401" s="88"/>
      <c r="AW401" s="88"/>
      <c r="AX401" s="88"/>
      <c r="AY401" s="88"/>
      <c r="AZ401" s="88"/>
      <c r="BA401" s="88"/>
      <c r="BB401" s="88"/>
      <c r="BC401" s="88"/>
      <c r="BD401" s="88"/>
    </row>
    <row r="402" spans="1:56" ht="12.55" x14ac:dyDescent="0.2">
      <c r="A402" s="88"/>
      <c r="B402" s="88"/>
      <c r="C402" s="88"/>
      <c r="D402" s="88"/>
      <c r="E402" s="88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88"/>
      <c r="AL402" s="88"/>
      <c r="AM402" s="88"/>
      <c r="AN402" s="88"/>
      <c r="AO402" s="88"/>
      <c r="AP402" s="88"/>
      <c r="AQ402" s="88"/>
      <c r="AR402" s="88"/>
      <c r="AS402" s="88"/>
      <c r="AT402" s="88"/>
      <c r="AU402" s="88"/>
      <c r="AV402" s="88"/>
      <c r="AW402" s="88"/>
      <c r="AX402" s="88"/>
      <c r="AY402" s="88"/>
      <c r="AZ402" s="88"/>
      <c r="BA402" s="88"/>
      <c r="BB402" s="88"/>
      <c r="BC402" s="88"/>
      <c r="BD402" s="88"/>
    </row>
    <row r="403" spans="1:56" ht="12.55" x14ac:dyDescent="0.2">
      <c r="A403" s="88"/>
      <c r="B403" s="88"/>
      <c r="C403" s="88"/>
      <c r="D403" s="88"/>
      <c r="E403" s="88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88"/>
      <c r="AL403" s="88"/>
      <c r="AM403" s="88"/>
      <c r="AN403" s="88"/>
      <c r="AO403" s="88"/>
      <c r="AP403" s="88"/>
      <c r="AQ403" s="88"/>
      <c r="AR403" s="88"/>
      <c r="AS403" s="88"/>
      <c r="AT403" s="88"/>
      <c r="AU403" s="88"/>
      <c r="AV403" s="88"/>
      <c r="AW403" s="88"/>
      <c r="AX403" s="88"/>
      <c r="AY403" s="88"/>
      <c r="AZ403" s="88"/>
      <c r="BA403" s="88"/>
      <c r="BB403" s="88"/>
      <c r="BC403" s="88"/>
      <c r="BD403" s="88"/>
    </row>
    <row r="404" spans="1:56" ht="12.55" x14ac:dyDescent="0.2">
      <c r="A404" s="88"/>
      <c r="B404" s="88"/>
      <c r="C404" s="88"/>
      <c r="D404" s="88"/>
      <c r="E404" s="88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  <c r="BC404" s="88"/>
      <c r="BD404" s="88"/>
    </row>
    <row r="405" spans="1:56" ht="12.55" x14ac:dyDescent="0.2">
      <c r="A405" s="88"/>
      <c r="B405" s="88"/>
      <c r="C405" s="88"/>
      <c r="D405" s="88"/>
      <c r="E405" s="88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88"/>
      <c r="AL405" s="88"/>
      <c r="AM405" s="88"/>
      <c r="AN405" s="88"/>
      <c r="AO405" s="88"/>
      <c r="AP405" s="88"/>
      <c r="AQ405" s="88"/>
      <c r="AR405" s="88"/>
      <c r="AS405" s="88"/>
      <c r="AT405" s="88"/>
      <c r="AU405" s="88"/>
      <c r="AV405" s="88"/>
      <c r="AW405" s="88"/>
      <c r="AX405" s="88"/>
      <c r="AY405" s="88"/>
      <c r="AZ405" s="88"/>
      <c r="BA405" s="88"/>
      <c r="BB405" s="88"/>
      <c r="BC405" s="88"/>
      <c r="BD405" s="88"/>
    </row>
    <row r="406" spans="1:56" ht="12.55" x14ac:dyDescent="0.2">
      <c r="A406" s="88"/>
      <c r="B406" s="88"/>
      <c r="C406" s="88"/>
      <c r="D406" s="88"/>
      <c r="E406" s="88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88"/>
      <c r="AL406" s="88"/>
      <c r="AM406" s="88"/>
      <c r="AN406" s="88"/>
      <c r="AO406" s="88"/>
      <c r="AP406" s="88"/>
      <c r="AQ406" s="88"/>
      <c r="AR406" s="88"/>
      <c r="AS406" s="88"/>
      <c r="AT406" s="88"/>
      <c r="AU406" s="88"/>
      <c r="AV406" s="88"/>
      <c r="AW406" s="88"/>
      <c r="AX406" s="88"/>
      <c r="AY406" s="88"/>
      <c r="AZ406" s="88"/>
      <c r="BA406" s="88"/>
      <c r="BB406" s="88"/>
      <c r="BC406" s="88"/>
      <c r="BD406" s="88"/>
    </row>
    <row r="407" spans="1:56" ht="12.55" x14ac:dyDescent="0.2">
      <c r="A407" s="88"/>
      <c r="B407" s="88"/>
      <c r="C407" s="88"/>
      <c r="D407" s="88"/>
      <c r="E407" s="88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88"/>
      <c r="AL407" s="88"/>
      <c r="AM407" s="88"/>
      <c r="AN407" s="88"/>
      <c r="AO407" s="88"/>
      <c r="AP407" s="88"/>
      <c r="AQ407" s="88"/>
      <c r="AR407" s="88"/>
      <c r="AS407" s="88"/>
      <c r="AT407" s="88"/>
      <c r="AU407" s="88"/>
      <c r="AV407" s="88"/>
      <c r="AW407" s="88"/>
      <c r="AX407" s="88"/>
      <c r="AY407" s="88"/>
      <c r="AZ407" s="88"/>
      <c r="BA407" s="88"/>
      <c r="BB407" s="88"/>
      <c r="BC407" s="88"/>
      <c r="BD407" s="88"/>
    </row>
    <row r="408" spans="1:56" ht="12.55" x14ac:dyDescent="0.2">
      <c r="A408" s="88"/>
      <c r="B408" s="88"/>
      <c r="C408" s="88"/>
      <c r="D408" s="88"/>
      <c r="E408" s="88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  <c r="BC408" s="88"/>
      <c r="BD408" s="88"/>
    </row>
    <row r="409" spans="1:56" ht="12.55" x14ac:dyDescent="0.2">
      <c r="A409" s="88"/>
      <c r="B409" s="88"/>
      <c r="C409" s="88"/>
      <c r="D409" s="88"/>
      <c r="E409" s="88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  <c r="AW409" s="88"/>
      <c r="AX409" s="88"/>
      <c r="AY409" s="88"/>
      <c r="AZ409" s="88"/>
      <c r="BA409" s="88"/>
      <c r="BB409" s="88"/>
      <c r="BC409" s="88"/>
      <c r="BD409" s="88"/>
    </row>
    <row r="410" spans="1:56" ht="12.55" x14ac:dyDescent="0.2">
      <c r="A410" s="88"/>
      <c r="B410" s="88"/>
      <c r="C410" s="88"/>
      <c r="D410" s="88"/>
      <c r="E410" s="88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88"/>
      <c r="AL410" s="88"/>
      <c r="AM410" s="88"/>
      <c r="AN410" s="88"/>
      <c r="AO410" s="88"/>
      <c r="AP410" s="88"/>
      <c r="AQ410" s="88"/>
      <c r="AR410" s="88"/>
      <c r="AS410" s="88"/>
      <c r="AT410" s="88"/>
      <c r="AU410" s="88"/>
      <c r="AV410" s="88"/>
      <c r="AW410" s="88"/>
      <c r="AX410" s="88"/>
      <c r="AY410" s="88"/>
      <c r="AZ410" s="88"/>
      <c r="BA410" s="88"/>
      <c r="BB410" s="88"/>
      <c r="BC410" s="88"/>
      <c r="BD410" s="88"/>
    </row>
    <row r="411" spans="1:56" ht="12.55" x14ac:dyDescent="0.2">
      <c r="A411" s="88"/>
      <c r="B411" s="88"/>
      <c r="C411" s="88"/>
      <c r="D411" s="88"/>
      <c r="E411" s="88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  <c r="AW411" s="88"/>
      <c r="AX411" s="88"/>
      <c r="AY411" s="88"/>
      <c r="AZ411" s="88"/>
      <c r="BA411" s="88"/>
      <c r="BB411" s="88"/>
      <c r="BC411" s="88"/>
      <c r="BD411" s="88"/>
    </row>
    <row r="412" spans="1:56" ht="12.55" x14ac:dyDescent="0.2">
      <c r="A412" s="88"/>
      <c r="B412" s="88"/>
      <c r="C412" s="88"/>
      <c r="D412" s="88"/>
      <c r="E412" s="88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  <c r="AW412" s="88"/>
      <c r="AX412" s="88"/>
      <c r="AY412" s="88"/>
      <c r="AZ412" s="88"/>
      <c r="BA412" s="88"/>
      <c r="BB412" s="88"/>
      <c r="BC412" s="88"/>
      <c r="BD412" s="88"/>
    </row>
    <row r="413" spans="1:56" ht="12.55" x14ac:dyDescent="0.2">
      <c r="A413" s="88"/>
      <c r="B413" s="88"/>
      <c r="C413" s="88"/>
      <c r="D413" s="88"/>
      <c r="E413" s="88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88"/>
      <c r="AL413" s="88"/>
      <c r="AM413" s="88"/>
      <c r="AN413" s="88"/>
      <c r="AO413" s="88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  <c r="BA413" s="88"/>
      <c r="BB413" s="88"/>
      <c r="BC413" s="88"/>
      <c r="BD413" s="88"/>
    </row>
    <row r="414" spans="1:56" ht="12.55" x14ac:dyDescent="0.2">
      <c r="A414" s="88"/>
      <c r="B414" s="88"/>
      <c r="C414" s="88"/>
      <c r="D414" s="88"/>
      <c r="E414" s="88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88"/>
      <c r="AL414" s="88"/>
      <c r="AM414" s="88"/>
      <c r="AN414" s="88"/>
      <c r="AO414" s="88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  <c r="BA414" s="88"/>
      <c r="BB414" s="88"/>
      <c r="BC414" s="88"/>
      <c r="BD414" s="88"/>
    </row>
    <row r="415" spans="1:56" ht="12.55" x14ac:dyDescent="0.2">
      <c r="A415" s="88"/>
      <c r="B415" s="88"/>
      <c r="C415" s="88"/>
      <c r="D415" s="88"/>
      <c r="E415" s="88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88"/>
      <c r="AL415" s="88"/>
      <c r="AM415" s="88"/>
      <c r="AN415" s="88"/>
      <c r="AO415" s="88"/>
      <c r="AP415" s="88"/>
      <c r="AQ415" s="88"/>
      <c r="AR415" s="88"/>
      <c r="AS415" s="88"/>
      <c r="AT415" s="88"/>
      <c r="AU415" s="88"/>
      <c r="AV415" s="88"/>
      <c r="AW415" s="88"/>
      <c r="AX415" s="88"/>
      <c r="AY415" s="88"/>
      <c r="AZ415" s="88"/>
      <c r="BA415" s="88"/>
      <c r="BB415" s="88"/>
      <c r="BC415" s="88"/>
      <c r="BD415" s="88"/>
    </row>
    <row r="416" spans="1:56" ht="12.55" x14ac:dyDescent="0.2">
      <c r="A416" s="88"/>
      <c r="B416" s="88"/>
      <c r="C416" s="88"/>
      <c r="D416" s="88"/>
      <c r="E416" s="88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88"/>
      <c r="AL416" s="88"/>
      <c r="AM416" s="88"/>
      <c r="AN416" s="88"/>
      <c r="AO416" s="88"/>
      <c r="AP416" s="88"/>
      <c r="AQ416" s="88"/>
      <c r="AR416" s="88"/>
      <c r="AS416" s="88"/>
      <c r="AT416" s="88"/>
      <c r="AU416" s="88"/>
      <c r="AV416" s="88"/>
      <c r="AW416" s="88"/>
      <c r="AX416" s="88"/>
      <c r="AY416" s="88"/>
      <c r="AZ416" s="88"/>
      <c r="BA416" s="88"/>
      <c r="BB416" s="88"/>
      <c r="BC416" s="88"/>
      <c r="BD416" s="88"/>
    </row>
    <row r="417" spans="1:56" ht="12.55" x14ac:dyDescent="0.2">
      <c r="A417" s="88"/>
      <c r="B417" s="88"/>
      <c r="C417" s="88"/>
      <c r="D417" s="88"/>
      <c r="E417" s="88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88"/>
      <c r="AL417" s="88"/>
      <c r="AM417" s="88"/>
      <c r="AN417" s="88"/>
      <c r="AO417" s="88"/>
      <c r="AP417" s="88"/>
      <c r="AQ417" s="88"/>
      <c r="AR417" s="88"/>
      <c r="AS417" s="88"/>
      <c r="AT417" s="88"/>
      <c r="AU417" s="88"/>
      <c r="AV417" s="88"/>
      <c r="AW417" s="88"/>
      <c r="AX417" s="88"/>
      <c r="AY417" s="88"/>
      <c r="AZ417" s="88"/>
      <c r="BA417" s="88"/>
      <c r="BB417" s="88"/>
      <c r="BC417" s="88"/>
      <c r="BD417" s="88"/>
    </row>
    <row r="418" spans="1:56" ht="12.55" x14ac:dyDescent="0.2">
      <c r="A418" s="88"/>
      <c r="B418" s="88"/>
      <c r="C418" s="88"/>
      <c r="D418" s="88"/>
      <c r="E418" s="88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88"/>
      <c r="AL418" s="88"/>
      <c r="AM418" s="88"/>
      <c r="AN418" s="88"/>
      <c r="AO418" s="88"/>
      <c r="AP418" s="88"/>
      <c r="AQ418" s="88"/>
      <c r="AR418" s="88"/>
      <c r="AS418" s="88"/>
      <c r="AT418" s="88"/>
      <c r="AU418" s="88"/>
      <c r="AV418" s="88"/>
      <c r="AW418" s="88"/>
      <c r="AX418" s="88"/>
      <c r="AY418" s="88"/>
      <c r="AZ418" s="88"/>
      <c r="BA418" s="88"/>
      <c r="BB418" s="88"/>
      <c r="BC418" s="88"/>
      <c r="BD418" s="88"/>
    </row>
    <row r="419" spans="1:56" ht="12.55" x14ac:dyDescent="0.2">
      <c r="A419" s="88"/>
      <c r="B419" s="88"/>
      <c r="C419" s="88"/>
      <c r="D419" s="88"/>
      <c r="E419" s="88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  <c r="AJ419" s="101"/>
      <c r="AK419" s="88"/>
      <c r="AL419" s="88"/>
      <c r="AM419" s="88"/>
      <c r="AN419" s="88"/>
      <c r="AO419" s="88"/>
      <c r="AP419" s="88"/>
      <c r="AQ419" s="88"/>
      <c r="AR419" s="88"/>
      <c r="AS419" s="88"/>
      <c r="AT419" s="88"/>
      <c r="AU419" s="88"/>
      <c r="AV419" s="88"/>
      <c r="AW419" s="88"/>
      <c r="AX419" s="88"/>
      <c r="AY419" s="88"/>
      <c r="AZ419" s="88"/>
      <c r="BA419" s="88"/>
      <c r="BB419" s="88"/>
      <c r="BC419" s="88"/>
      <c r="BD419" s="88"/>
    </row>
    <row r="420" spans="1:56" ht="12.55" x14ac:dyDescent="0.2">
      <c r="A420" s="88"/>
      <c r="B420" s="88"/>
      <c r="C420" s="88"/>
      <c r="D420" s="88"/>
      <c r="E420" s="88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88"/>
      <c r="AL420" s="88"/>
      <c r="AM420" s="88"/>
      <c r="AN420" s="88"/>
      <c r="AO420" s="88"/>
      <c r="AP420" s="88"/>
      <c r="AQ420" s="88"/>
      <c r="AR420" s="88"/>
      <c r="AS420" s="88"/>
      <c r="AT420" s="88"/>
      <c r="AU420" s="88"/>
      <c r="AV420" s="88"/>
      <c r="AW420" s="88"/>
      <c r="AX420" s="88"/>
      <c r="AY420" s="88"/>
      <c r="AZ420" s="88"/>
      <c r="BA420" s="88"/>
      <c r="BB420" s="88"/>
      <c r="BC420" s="88"/>
      <c r="BD420" s="88"/>
    </row>
    <row r="421" spans="1:56" ht="12.55" x14ac:dyDescent="0.2">
      <c r="A421" s="88"/>
      <c r="B421" s="88"/>
      <c r="C421" s="88"/>
      <c r="D421" s="88"/>
      <c r="E421" s="88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88"/>
      <c r="AL421" s="88"/>
      <c r="AM421" s="88"/>
      <c r="AN421" s="88"/>
      <c r="AO421" s="88"/>
      <c r="AP421" s="88"/>
      <c r="AQ421" s="88"/>
      <c r="AR421" s="88"/>
      <c r="AS421" s="88"/>
      <c r="AT421" s="88"/>
      <c r="AU421" s="88"/>
      <c r="AV421" s="88"/>
      <c r="AW421" s="88"/>
      <c r="AX421" s="88"/>
      <c r="AY421" s="88"/>
      <c r="AZ421" s="88"/>
      <c r="BA421" s="88"/>
      <c r="BB421" s="88"/>
      <c r="BC421" s="88"/>
      <c r="BD421" s="88"/>
    </row>
    <row r="422" spans="1:56" ht="12.55" x14ac:dyDescent="0.2">
      <c r="A422" s="88"/>
      <c r="B422" s="88"/>
      <c r="C422" s="88"/>
      <c r="D422" s="88"/>
      <c r="E422" s="88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88"/>
      <c r="AL422" s="88"/>
      <c r="AM422" s="88"/>
      <c r="AN422" s="88"/>
      <c r="AO422" s="88"/>
      <c r="AP422" s="88"/>
      <c r="AQ422" s="88"/>
      <c r="AR422" s="88"/>
      <c r="AS422" s="88"/>
      <c r="AT422" s="88"/>
      <c r="AU422" s="88"/>
      <c r="AV422" s="88"/>
      <c r="AW422" s="88"/>
      <c r="AX422" s="88"/>
      <c r="AY422" s="88"/>
      <c r="AZ422" s="88"/>
      <c r="BA422" s="88"/>
      <c r="BB422" s="88"/>
      <c r="BC422" s="88"/>
      <c r="BD422" s="88"/>
    </row>
    <row r="423" spans="1:56" ht="12.55" x14ac:dyDescent="0.2">
      <c r="A423" s="88"/>
      <c r="B423" s="88"/>
      <c r="C423" s="88"/>
      <c r="D423" s="88"/>
      <c r="E423" s="88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88"/>
      <c r="AL423" s="88"/>
      <c r="AM423" s="88"/>
      <c r="AN423" s="88"/>
      <c r="AO423" s="88"/>
      <c r="AP423" s="88"/>
      <c r="AQ423" s="88"/>
      <c r="AR423" s="88"/>
      <c r="AS423" s="88"/>
      <c r="AT423" s="88"/>
      <c r="AU423" s="88"/>
      <c r="AV423" s="88"/>
      <c r="AW423" s="88"/>
      <c r="AX423" s="88"/>
      <c r="AY423" s="88"/>
      <c r="AZ423" s="88"/>
      <c r="BA423" s="88"/>
      <c r="BB423" s="88"/>
      <c r="BC423" s="88"/>
      <c r="BD423" s="88"/>
    </row>
    <row r="424" spans="1:56" ht="12.55" x14ac:dyDescent="0.2">
      <c r="A424" s="88"/>
      <c r="B424" s="88"/>
      <c r="C424" s="88"/>
      <c r="D424" s="88"/>
      <c r="E424" s="88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88"/>
      <c r="AL424" s="88"/>
      <c r="AM424" s="88"/>
      <c r="AN424" s="88"/>
      <c r="AO424" s="88"/>
      <c r="AP424" s="88"/>
      <c r="AQ424" s="88"/>
      <c r="AR424" s="88"/>
      <c r="AS424" s="88"/>
      <c r="AT424" s="88"/>
      <c r="AU424" s="88"/>
      <c r="AV424" s="88"/>
      <c r="AW424" s="88"/>
      <c r="AX424" s="88"/>
      <c r="AY424" s="88"/>
      <c r="AZ424" s="88"/>
      <c r="BA424" s="88"/>
      <c r="BB424" s="88"/>
      <c r="BC424" s="88"/>
      <c r="BD424" s="88"/>
    </row>
    <row r="425" spans="1:56" ht="12.55" x14ac:dyDescent="0.2">
      <c r="A425" s="88"/>
      <c r="B425" s="88"/>
      <c r="C425" s="88"/>
      <c r="D425" s="88"/>
      <c r="E425" s="88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88"/>
      <c r="AL425" s="88"/>
      <c r="AM425" s="88"/>
      <c r="AN425" s="88"/>
      <c r="AO425" s="88"/>
      <c r="AP425" s="88"/>
      <c r="AQ425" s="88"/>
      <c r="AR425" s="88"/>
      <c r="AS425" s="88"/>
      <c r="AT425" s="88"/>
      <c r="AU425" s="88"/>
      <c r="AV425" s="88"/>
      <c r="AW425" s="88"/>
      <c r="AX425" s="88"/>
      <c r="AY425" s="88"/>
      <c r="AZ425" s="88"/>
      <c r="BA425" s="88"/>
      <c r="BB425" s="88"/>
      <c r="BC425" s="88"/>
      <c r="BD425" s="88"/>
    </row>
    <row r="426" spans="1:56" ht="12.55" x14ac:dyDescent="0.2">
      <c r="A426" s="88"/>
      <c r="B426" s="88"/>
      <c r="C426" s="88"/>
      <c r="D426" s="88"/>
      <c r="E426" s="88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88"/>
      <c r="AL426" s="88"/>
      <c r="AM426" s="88"/>
      <c r="AN426" s="88"/>
      <c r="AO426" s="88"/>
      <c r="AP426" s="88"/>
      <c r="AQ426" s="88"/>
      <c r="AR426" s="88"/>
      <c r="AS426" s="88"/>
      <c r="AT426" s="88"/>
      <c r="AU426" s="88"/>
      <c r="AV426" s="88"/>
      <c r="AW426" s="88"/>
      <c r="AX426" s="88"/>
      <c r="AY426" s="88"/>
      <c r="AZ426" s="88"/>
      <c r="BA426" s="88"/>
      <c r="BB426" s="88"/>
      <c r="BC426" s="88"/>
      <c r="BD426" s="88"/>
    </row>
    <row r="427" spans="1:56" ht="12.55" x14ac:dyDescent="0.2">
      <c r="A427" s="88"/>
      <c r="B427" s="88"/>
      <c r="C427" s="88"/>
      <c r="D427" s="88"/>
      <c r="E427" s="88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88"/>
      <c r="AL427" s="88"/>
      <c r="AM427" s="88"/>
      <c r="AN427" s="88"/>
      <c r="AO427" s="88"/>
      <c r="AP427" s="88"/>
      <c r="AQ427" s="88"/>
      <c r="AR427" s="88"/>
      <c r="AS427" s="88"/>
      <c r="AT427" s="88"/>
      <c r="AU427" s="88"/>
      <c r="AV427" s="88"/>
      <c r="AW427" s="88"/>
      <c r="AX427" s="88"/>
      <c r="AY427" s="88"/>
      <c r="AZ427" s="88"/>
      <c r="BA427" s="88"/>
      <c r="BB427" s="88"/>
      <c r="BC427" s="88"/>
      <c r="BD427" s="88"/>
    </row>
    <row r="428" spans="1:56" ht="12.55" x14ac:dyDescent="0.2">
      <c r="A428" s="88"/>
      <c r="B428" s="88"/>
      <c r="C428" s="88"/>
      <c r="D428" s="88"/>
      <c r="E428" s="88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88"/>
      <c r="AL428" s="88"/>
      <c r="AM428" s="88"/>
      <c r="AN428" s="88"/>
      <c r="AO428" s="88"/>
      <c r="AP428" s="88"/>
      <c r="AQ428" s="88"/>
      <c r="AR428" s="88"/>
      <c r="AS428" s="88"/>
      <c r="AT428" s="88"/>
      <c r="AU428" s="88"/>
      <c r="AV428" s="88"/>
      <c r="AW428" s="88"/>
      <c r="AX428" s="88"/>
      <c r="AY428" s="88"/>
      <c r="AZ428" s="88"/>
      <c r="BA428" s="88"/>
      <c r="BB428" s="88"/>
      <c r="BC428" s="88"/>
      <c r="BD428" s="88"/>
    </row>
    <row r="429" spans="1:56" ht="12.55" x14ac:dyDescent="0.2">
      <c r="A429" s="88"/>
      <c r="B429" s="88"/>
      <c r="C429" s="88"/>
      <c r="D429" s="88"/>
      <c r="E429" s="88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88"/>
      <c r="AL429" s="88"/>
      <c r="AM429" s="88"/>
      <c r="AN429" s="88"/>
      <c r="AO429" s="88"/>
      <c r="AP429" s="88"/>
      <c r="AQ429" s="88"/>
      <c r="AR429" s="88"/>
      <c r="AS429" s="88"/>
      <c r="AT429" s="88"/>
      <c r="AU429" s="88"/>
      <c r="AV429" s="88"/>
      <c r="AW429" s="88"/>
      <c r="AX429" s="88"/>
      <c r="AY429" s="88"/>
      <c r="AZ429" s="88"/>
      <c r="BA429" s="88"/>
      <c r="BB429" s="88"/>
      <c r="BC429" s="88"/>
      <c r="BD429" s="88"/>
    </row>
    <row r="430" spans="1:56" ht="12.55" x14ac:dyDescent="0.2">
      <c r="A430" s="88"/>
      <c r="B430" s="88"/>
      <c r="C430" s="88"/>
      <c r="D430" s="88"/>
      <c r="E430" s="88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88"/>
      <c r="AL430" s="88"/>
      <c r="AM430" s="88"/>
      <c r="AN430" s="88"/>
      <c r="AO430" s="88"/>
      <c r="AP430" s="88"/>
      <c r="AQ430" s="88"/>
      <c r="AR430" s="88"/>
      <c r="AS430" s="88"/>
      <c r="AT430" s="88"/>
      <c r="AU430" s="88"/>
      <c r="AV430" s="88"/>
      <c r="AW430" s="88"/>
      <c r="AX430" s="88"/>
      <c r="AY430" s="88"/>
      <c r="AZ430" s="88"/>
      <c r="BA430" s="88"/>
      <c r="BB430" s="88"/>
      <c r="BC430" s="88"/>
      <c r="BD430" s="88"/>
    </row>
    <row r="431" spans="1:56" ht="12.55" x14ac:dyDescent="0.2">
      <c r="A431" s="88"/>
      <c r="B431" s="88"/>
      <c r="C431" s="88"/>
      <c r="D431" s="88"/>
      <c r="E431" s="88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88"/>
      <c r="AL431" s="88"/>
      <c r="AM431" s="88"/>
      <c r="AN431" s="88"/>
      <c r="AO431" s="88"/>
      <c r="AP431" s="88"/>
      <c r="AQ431" s="88"/>
      <c r="AR431" s="88"/>
      <c r="AS431" s="88"/>
      <c r="AT431" s="88"/>
      <c r="AU431" s="88"/>
      <c r="AV431" s="88"/>
      <c r="AW431" s="88"/>
      <c r="AX431" s="88"/>
      <c r="AY431" s="88"/>
      <c r="AZ431" s="88"/>
      <c r="BA431" s="88"/>
      <c r="BB431" s="88"/>
      <c r="BC431" s="88"/>
      <c r="BD431" s="88"/>
    </row>
    <row r="432" spans="1:56" ht="12.55" x14ac:dyDescent="0.2">
      <c r="A432" s="88"/>
      <c r="B432" s="88"/>
      <c r="C432" s="88"/>
      <c r="D432" s="88"/>
      <c r="E432" s="88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88"/>
      <c r="AL432" s="88"/>
      <c r="AM432" s="88"/>
      <c r="AN432" s="88"/>
      <c r="AO432" s="88"/>
      <c r="AP432" s="88"/>
      <c r="AQ432" s="88"/>
      <c r="AR432" s="88"/>
      <c r="AS432" s="88"/>
      <c r="AT432" s="88"/>
      <c r="AU432" s="88"/>
      <c r="AV432" s="88"/>
      <c r="AW432" s="88"/>
      <c r="AX432" s="88"/>
      <c r="AY432" s="88"/>
      <c r="AZ432" s="88"/>
      <c r="BA432" s="88"/>
      <c r="BB432" s="88"/>
      <c r="BC432" s="88"/>
      <c r="BD432" s="88"/>
    </row>
    <row r="433" spans="1:56" ht="12.55" x14ac:dyDescent="0.2">
      <c r="A433" s="88"/>
      <c r="B433" s="88"/>
      <c r="C433" s="88"/>
      <c r="D433" s="88"/>
      <c r="E433" s="88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88"/>
      <c r="AL433" s="88"/>
      <c r="AM433" s="88"/>
      <c r="AN433" s="88"/>
      <c r="AO433" s="88"/>
      <c r="AP433" s="88"/>
      <c r="AQ433" s="88"/>
      <c r="AR433" s="88"/>
      <c r="AS433" s="88"/>
      <c r="AT433" s="88"/>
      <c r="AU433" s="88"/>
      <c r="AV433" s="88"/>
      <c r="AW433" s="88"/>
      <c r="AX433" s="88"/>
      <c r="AY433" s="88"/>
      <c r="AZ433" s="88"/>
      <c r="BA433" s="88"/>
      <c r="BB433" s="88"/>
      <c r="BC433" s="88"/>
      <c r="BD433" s="88"/>
    </row>
    <row r="434" spans="1:56" ht="12.55" x14ac:dyDescent="0.2">
      <c r="A434" s="88"/>
      <c r="B434" s="88"/>
      <c r="C434" s="88"/>
      <c r="D434" s="88"/>
      <c r="E434" s="88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88"/>
      <c r="AL434" s="88"/>
      <c r="AM434" s="88"/>
      <c r="AN434" s="88"/>
      <c r="AO434" s="88"/>
      <c r="AP434" s="88"/>
      <c r="AQ434" s="88"/>
      <c r="AR434" s="88"/>
      <c r="AS434" s="88"/>
      <c r="AT434" s="88"/>
      <c r="AU434" s="88"/>
      <c r="AV434" s="88"/>
      <c r="AW434" s="88"/>
      <c r="AX434" s="88"/>
      <c r="AY434" s="88"/>
      <c r="AZ434" s="88"/>
      <c r="BA434" s="88"/>
      <c r="BB434" s="88"/>
      <c r="BC434" s="88"/>
      <c r="BD434" s="88"/>
    </row>
    <row r="435" spans="1:56" ht="12.55" x14ac:dyDescent="0.2">
      <c r="A435" s="88"/>
      <c r="B435" s="88"/>
      <c r="C435" s="88"/>
      <c r="D435" s="88"/>
      <c r="E435" s="88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88"/>
      <c r="AL435" s="88"/>
      <c r="AM435" s="88"/>
      <c r="AN435" s="88"/>
      <c r="AO435" s="88"/>
      <c r="AP435" s="88"/>
      <c r="AQ435" s="88"/>
      <c r="AR435" s="88"/>
      <c r="AS435" s="88"/>
      <c r="AT435" s="88"/>
      <c r="AU435" s="88"/>
      <c r="AV435" s="88"/>
      <c r="AW435" s="88"/>
      <c r="AX435" s="88"/>
      <c r="AY435" s="88"/>
      <c r="AZ435" s="88"/>
      <c r="BA435" s="88"/>
      <c r="BB435" s="88"/>
      <c r="BC435" s="88"/>
      <c r="BD435" s="88"/>
    </row>
    <row r="436" spans="1:56" ht="12.55" x14ac:dyDescent="0.2">
      <c r="A436" s="88"/>
      <c r="B436" s="88"/>
      <c r="C436" s="88"/>
      <c r="D436" s="88"/>
      <c r="E436" s="88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88"/>
      <c r="AL436" s="88"/>
      <c r="AM436" s="88"/>
      <c r="AN436" s="88"/>
      <c r="AO436" s="88"/>
      <c r="AP436" s="88"/>
      <c r="AQ436" s="88"/>
      <c r="AR436" s="88"/>
      <c r="AS436" s="88"/>
      <c r="AT436" s="88"/>
      <c r="AU436" s="88"/>
      <c r="AV436" s="88"/>
      <c r="AW436" s="88"/>
      <c r="AX436" s="88"/>
      <c r="AY436" s="88"/>
      <c r="AZ436" s="88"/>
      <c r="BA436" s="88"/>
      <c r="BB436" s="88"/>
      <c r="BC436" s="88"/>
      <c r="BD436" s="88"/>
    </row>
    <row r="437" spans="1:56" ht="12.55" x14ac:dyDescent="0.2">
      <c r="A437" s="88"/>
      <c r="B437" s="88"/>
      <c r="C437" s="88"/>
      <c r="D437" s="88"/>
      <c r="E437" s="88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88"/>
      <c r="AL437" s="88"/>
      <c r="AM437" s="88"/>
      <c r="AN437" s="88"/>
      <c r="AO437" s="88"/>
      <c r="AP437" s="88"/>
      <c r="AQ437" s="88"/>
      <c r="AR437" s="88"/>
      <c r="AS437" s="88"/>
      <c r="AT437" s="88"/>
      <c r="AU437" s="88"/>
      <c r="AV437" s="88"/>
      <c r="AW437" s="88"/>
      <c r="AX437" s="88"/>
      <c r="AY437" s="88"/>
      <c r="AZ437" s="88"/>
      <c r="BA437" s="88"/>
      <c r="BB437" s="88"/>
      <c r="BC437" s="88"/>
      <c r="BD437" s="88"/>
    </row>
    <row r="438" spans="1:56" ht="12.55" x14ac:dyDescent="0.2">
      <c r="A438" s="88"/>
      <c r="B438" s="88"/>
      <c r="C438" s="88"/>
      <c r="D438" s="88"/>
      <c r="E438" s="88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88"/>
      <c r="AL438" s="88"/>
      <c r="AM438" s="88"/>
      <c r="AN438" s="88"/>
      <c r="AO438" s="88"/>
      <c r="AP438" s="88"/>
      <c r="AQ438" s="88"/>
      <c r="AR438" s="88"/>
      <c r="AS438" s="88"/>
      <c r="AT438" s="88"/>
      <c r="AU438" s="88"/>
      <c r="AV438" s="88"/>
      <c r="AW438" s="88"/>
      <c r="AX438" s="88"/>
      <c r="AY438" s="88"/>
      <c r="AZ438" s="88"/>
      <c r="BA438" s="88"/>
      <c r="BB438" s="88"/>
      <c r="BC438" s="88"/>
      <c r="BD438" s="88"/>
    </row>
    <row r="439" spans="1:56" ht="12.55" x14ac:dyDescent="0.2">
      <c r="A439" s="88"/>
      <c r="B439" s="88"/>
      <c r="C439" s="88"/>
      <c r="D439" s="88"/>
      <c r="E439" s="88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88"/>
      <c r="AL439" s="88"/>
      <c r="AM439" s="88"/>
      <c r="AN439" s="88"/>
      <c r="AO439" s="88"/>
      <c r="AP439" s="88"/>
      <c r="AQ439" s="88"/>
      <c r="AR439" s="88"/>
      <c r="AS439" s="88"/>
      <c r="AT439" s="88"/>
      <c r="AU439" s="88"/>
      <c r="AV439" s="88"/>
      <c r="AW439" s="88"/>
      <c r="AX439" s="88"/>
      <c r="AY439" s="88"/>
      <c r="AZ439" s="88"/>
      <c r="BA439" s="88"/>
      <c r="BB439" s="88"/>
      <c r="BC439" s="88"/>
      <c r="BD439" s="88"/>
    </row>
    <row r="440" spans="1:56" ht="12.55" x14ac:dyDescent="0.2">
      <c r="A440" s="88"/>
      <c r="B440" s="88"/>
      <c r="C440" s="88"/>
      <c r="D440" s="88"/>
      <c r="E440" s="88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88"/>
      <c r="AL440" s="88"/>
      <c r="AM440" s="88"/>
      <c r="AN440" s="88"/>
      <c r="AO440" s="88"/>
      <c r="AP440" s="88"/>
      <c r="AQ440" s="88"/>
      <c r="AR440" s="88"/>
      <c r="AS440" s="88"/>
      <c r="AT440" s="88"/>
      <c r="AU440" s="88"/>
      <c r="AV440" s="88"/>
      <c r="AW440" s="88"/>
      <c r="AX440" s="88"/>
      <c r="AY440" s="88"/>
      <c r="AZ440" s="88"/>
      <c r="BA440" s="88"/>
      <c r="BB440" s="88"/>
      <c r="BC440" s="88"/>
      <c r="BD440" s="88"/>
    </row>
    <row r="441" spans="1:56" ht="12.55" x14ac:dyDescent="0.2">
      <c r="A441" s="88"/>
      <c r="B441" s="88"/>
      <c r="C441" s="88"/>
      <c r="D441" s="88"/>
      <c r="E441" s="88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88"/>
      <c r="AL441" s="88"/>
      <c r="AM441" s="88"/>
      <c r="AN441" s="88"/>
      <c r="AO441" s="88"/>
      <c r="AP441" s="88"/>
      <c r="AQ441" s="88"/>
      <c r="AR441" s="88"/>
      <c r="AS441" s="88"/>
      <c r="AT441" s="88"/>
      <c r="AU441" s="88"/>
      <c r="AV441" s="88"/>
      <c r="AW441" s="88"/>
      <c r="AX441" s="88"/>
      <c r="AY441" s="88"/>
      <c r="AZ441" s="88"/>
      <c r="BA441" s="88"/>
      <c r="BB441" s="88"/>
      <c r="BC441" s="88"/>
      <c r="BD441" s="88"/>
    </row>
    <row r="442" spans="1:56" ht="12.55" x14ac:dyDescent="0.2">
      <c r="A442" s="88"/>
      <c r="B442" s="88"/>
      <c r="C442" s="88"/>
      <c r="D442" s="88"/>
      <c r="E442" s="88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88"/>
      <c r="AL442" s="88"/>
      <c r="AM442" s="88"/>
      <c r="AN442" s="88"/>
      <c r="AO442" s="88"/>
      <c r="AP442" s="88"/>
      <c r="AQ442" s="88"/>
      <c r="AR442" s="88"/>
      <c r="AS442" s="88"/>
      <c r="AT442" s="88"/>
      <c r="AU442" s="88"/>
      <c r="AV442" s="88"/>
      <c r="AW442" s="88"/>
      <c r="AX442" s="88"/>
      <c r="AY442" s="88"/>
      <c r="AZ442" s="88"/>
      <c r="BA442" s="88"/>
      <c r="BB442" s="88"/>
      <c r="BC442" s="88"/>
      <c r="BD442" s="88"/>
    </row>
    <row r="443" spans="1:56" ht="12.55" x14ac:dyDescent="0.2">
      <c r="A443" s="88"/>
      <c r="B443" s="88"/>
      <c r="C443" s="88"/>
      <c r="D443" s="88"/>
      <c r="E443" s="88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88"/>
      <c r="AL443" s="88"/>
      <c r="AM443" s="88"/>
      <c r="AN443" s="88"/>
      <c r="AO443" s="88"/>
      <c r="AP443" s="88"/>
      <c r="AQ443" s="88"/>
      <c r="AR443" s="88"/>
      <c r="AS443" s="88"/>
      <c r="AT443" s="88"/>
      <c r="AU443" s="88"/>
      <c r="AV443" s="88"/>
      <c r="AW443" s="88"/>
      <c r="AX443" s="88"/>
      <c r="AY443" s="88"/>
      <c r="AZ443" s="88"/>
      <c r="BA443" s="88"/>
      <c r="BB443" s="88"/>
      <c r="BC443" s="88"/>
      <c r="BD443" s="88"/>
    </row>
    <row r="444" spans="1:56" ht="12.55" x14ac:dyDescent="0.2">
      <c r="A444" s="88"/>
      <c r="B444" s="88"/>
      <c r="C444" s="88"/>
      <c r="D444" s="88"/>
      <c r="E444" s="88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88"/>
      <c r="AL444" s="88"/>
      <c r="AM444" s="88"/>
      <c r="AN444" s="88"/>
      <c r="AO444" s="88"/>
      <c r="AP444" s="88"/>
      <c r="AQ444" s="88"/>
      <c r="AR444" s="88"/>
      <c r="AS444" s="88"/>
      <c r="AT444" s="88"/>
      <c r="AU444" s="88"/>
      <c r="AV444" s="88"/>
      <c r="AW444" s="88"/>
      <c r="AX444" s="88"/>
      <c r="AY444" s="88"/>
      <c r="AZ444" s="88"/>
      <c r="BA444" s="88"/>
      <c r="BB444" s="88"/>
      <c r="BC444" s="88"/>
      <c r="BD444" s="88"/>
    </row>
    <row r="445" spans="1:56" ht="12.55" x14ac:dyDescent="0.2">
      <c r="A445" s="88"/>
      <c r="B445" s="88"/>
      <c r="C445" s="88"/>
      <c r="D445" s="88"/>
      <c r="E445" s="88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88"/>
      <c r="AL445" s="88"/>
      <c r="AM445" s="88"/>
      <c r="AN445" s="88"/>
      <c r="AO445" s="88"/>
      <c r="AP445" s="88"/>
      <c r="AQ445" s="88"/>
      <c r="AR445" s="88"/>
      <c r="AS445" s="88"/>
      <c r="AT445" s="88"/>
      <c r="AU445" s="88"/>
      <c r="AV445" s="88"/>
      <c r="AW445" s="88"/>
      <c r="AX445" s="88"/>
      <c r="AY445" s="88"/>
      <c r="AZ445" s="88"/>
      <c r="BA445" s="88"/>
      <c r="BB445" s="88"/>
      <c r="BC445" s="88"/>
      <c r="BD445" s="88"/>
    </row>
    <row r="446" spans="1:56" ht="12.55" x14ac:dyDescent="0.2">
      <c r="A446" s="88"/>
      <c r="B446" s="88"/>
      <c r="C446" s="88"/>
      <c r="D446" s="88"/>
      <c r="E446" s="88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88"/>
      <c r="AL446" s="88"/>
      <c r="AM446" s="88"/>
      <c r="AN446" s="88"/>
      <c r="AO446" s="88"/>
      <c r="AP446" s="88"/>
      <c r="AQ446" s="88"/>
      <c r="AR446" s="88"/>
      <c r="AS446" s="88"/>
      <c r="AT446" s="88"/>
      <c r="AU446" s="88"/>
      <c r="AV446" s="88"/>
      <c r="AW446" s="88"/>
      <c r="AX446" s="88"/>
      <c r="AY446" s="88"/>
      <c r="AZ446" s="88"/>
      <c r="BA446" s="88"/>
      <c r="BB446" s="88"/>
      <c r="BC446" s="88"/>
      <c r="BD446" s="88"/>
    </row>
    <row r="447" spans="1:56" ht="12.55" x14ac:dyDescent="0.2">
      <c r="A447" s="88"/>
      <c r="B447" s="88"/>
      <c r="C447" s="88"/>
      <c r="D447" s="88"/>
      <c r="E447" s="88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88"/>
      <c r="AL447" s="88"/>
      <c r="AM447" s="88"/>
      <c r="AN447" s="88"/>
      <c r="AO447" s="88"/>
      <c r="AP447" s="88"/>
      <c r="AQ447" s="88"/>
      <c r="AR447" s="88"/>
      <c r="AS447" s="88"/>
      <c r="AT447" s="88"/>
      <c r="AU447" s="88"/>
      <c r="AV447" s="88"/>
      <c r="AW447" s="88"/>
      <c r="AX447" s="88"/>
      <c r="AY447" s="88"/>
      <c r="AZ447" s="88"/>
      <c r="BA447" s="88"/>
      <c r="BB447" s="88"/>
      <c r="BC447" s="88"/>
      <c r="BD447" s="88"/>
    </row>
    <row r="448" spans="1:56" ht="12.55" x14ac:dyDescent="0.2">
      <c r="A448" s="88"/>
      <c r="B448" s="88"/>
      <c r="C448" s="88"/>
      <c r="D448" s="88"/>
      <c r="E448" s="88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88"/>
      <c r="AL448" s="88"/>
      <c r="AM448" s="88"/>
      <c r="AN448" s="88"/>
      <c r="AO448" s="88"/>
      <c r="AP448" s="88"/>
      <c r="AQ448" s="88"/>
      <c r="AR448" s="88"/>
      <c r="AS448" s="88"/>
      <c r="AT448" s="88"/>
      <c r="AU448" s="88"/>
      <c r="AV448" s="88"/>
      <c r="AW448" s="88"/>
      <c r="AX448" s="88"/>
      <c r="AY448" s="88"/>
      <c r="AZ448" s="88"/>
      <c r="BA448" s="88"/>
      <c r="BB448" s="88"/>
      <c r="BC448" s="88"/>
      <c r="BD448" s="88"/>
    </row>
    <row r="449" spans="1:56" ht="12.55" x14ac:dyDescent="0.2">
      <c r="A449" s="88"/>
      <c r="B449" s="88"/>
      <c r="C449" s="88"/>
      <c r="D449" s="88"/>
      <c r="E449" s="88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88"/>
      <c r="AL449" s="88"/>
      <c r="AM449" s="88"/>
      <c r="AN449" s="88"/>
      <c r="AO449" s="88"/>
      <c r="AP449" s="88"/>
      <c r="AQ449" s="88"/>
      <c r="AR449" s="88"/>
      <c r="AS449" s="88"/>
      <c r="AT449" s="88"/>
      <c r="AU449" s="88"/>
      <c r="AV449" s="88"/>
      <c r="AW449" s="88"/>
      <c r="AX449" s="88"/>
      <c r="AY449" s="88"/>
      <c r="AZ449" s="88"/>
      <c r="BA449" s="88"/>
      <c r="BB449" s="88"/>
      <c r="BC449" s="88"/>
      <c r="BD449" s="88"/>
    </row>
    <row r="450" spans="1:56" ht="12.55" x14ac:dyDescent="0.2">
      <c r="A450" s="88"/>
      <c r="B450" s="88"/>
      <c r="C450" s="88"/>
      <c r="D450" s="88"/>
      <c r="E450" s="88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88"/>
      <c r="AL450" s="88"/>
      <c r="AM450" s="88"/>
      <c r="AN450" s="88"/>
      <c r="AO450" s="88"/>
      <c r="AP450" s="88"/>
      <c r="AQ450" s="88"/>
      <c r="AR450" s="88"/>
      <c r="AS450" s="88"/>
      <c r="AT450" s="88"/>
      <c r="AU450" s="88"/>
      <c r="AV450" s="88"/>
      <c r="AW450" s="88"/>
      <c r="AX450" s="88"/>
      <c r="AY450" s="88"/>
      <c r="AZ450" s="88"/>
      <c r="BA450" s="88"/>
      <c r="BB450" s="88"/>
      <c r="BC450" s="88"/>
      <c r="BD450" s="88"/>
    </row>
    <row r="451" spans="1:56" ht="12.55" x14ac:dyDescent="0.2">
      <c r="A451" s="88"/>
      <c r="B451" s="88"/>
      <c r="C451" s="88"/>
      <c r="D451" s="88"/>
      <c r="E451" s="88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88"/>
      <c r="AL451" s="88"/>
      <c r="AM451" s="88"/>
      <c r="AN451" s="88"/>
      <c r="AO451" s="88"/>
      <c r="AP451" s="88"/>
      <c r="AQ451" s="88"/>
      <c r="AR451" s="88"/>
      <c r="AS451" s="88"/>
      <c r="AT451" s="88"/>
      <c r="AU451" s="88"/>
      <c r="AV451" s="88"/>
      <c r="AW451" s="88"/>
      <c r="AX451" s="88"/>
      <c r="AY451" s="88"/>
      <c r="AZ451" s="88"/>
      <c r="BA451" s="88"/>
      <c r="BB451" s="88"/>
      <c r="BC451" s="88"/>
      <c r="BD451" s="88"/>
    </row>
    <row r="452" spans="1:56" ht="12.55" x14ac:dyDescent="0.2">
      <c r="A452" s="88"/>
      <c r="B452" s="88"/>
      <c r="C452" s="88"/>
      <c r="D452" s="88"/>
      <c r="E452" s="88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88"/>
      <c r="AL452" s="88"/>
      <c r="AM452" s="88"/>
      <c r="AN452" s="88"/>
      <c r="AO452" s="88"/>
      <c r="AP452" s="88"/>
      <c r="AQ452" s="88"/>
      <c r="AR452" s="88"/>
      <c r="AS452" s="88"/>
      <c r="AT452" s="88"/>
      <c r="AU452" s="88"/>
      <c r="AV452" s="88"/>
      <c r="AW452" s="88"/>
      <c r="AX452" s="88"/>
      <c r="AY452" s="88"/>
      <c r="AZ452" s="88"/>
      <c r="BA452" s="88"/>
      <c r="BB452" s="88"/>
      <c r="BC452" s="88"/>
      <c r="BD452" s="88"/>
    </row>
    <row r="453" spans="1:56" ht="12.55" x14ac:dyDescent="0.2">
      <c r="A453" s="88"/>
      <c r="B453" s="88"/>
      <c r="C453" s="88"/>
      <c r="D453" s="88"/>
      <c r="E453" s="88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88"/>
      <c r="AL453" s="88"/>
      <c r="AM453" s="88"/>
      <c r="AN453" s="88"/>
      <c r="AO453" s="88"/>
      <c r="AP453" s="88"/>
      <c r="AQ453" s="88"/>
      <c r="AR453" s="88"/>
      <c r="AS453" s="88"/>
      <c r="AT453" s="88"/>
      <c r="AU453" s="88"/>
      <c r="AV453" s="88"/>
      <c r="AW453" s="88"/>
      <c r="AX453" s="88"/>
      <c r="AY453" s="88"/>
      <c r="AZ453" s="88"/>
      <c r="BA453" s="88"/>
      <c r="BB453" s="88"/>
      <c r="BC453" s="88"/>
      <c r="BD453" s="88"/>
    </row>
    <row r="454" spans="1:56" ht="12.55" x14ac:dyDescent="0.2">
      <c r="A454" s="88"/>
      <c r="B454" s="88"/>
      <c r="C454" s="88"/>
      <c r="D454" s="88"/>
      <c r="E454" s="88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88"/>
      <c r="AL454" s="88"/>
      <c r="AM454" s="88"/>
      <c r="AN454" s="88"/>
      <c r="AO454" s="88"/>
      <c r="AP454" s="88"/>
      <c r="AQ454" s="88"/>
      <c r="AR454" s="88"/>
      <c r="AS454" s="88"/>
      <c r="AT454" s="88"/>
      <c r="AU454" s="88"/>
      <c r="AV454" s="88"/>
      <c r="AW454" s="88"/>
      <c r="AX454" s="88"/>
      <c r="AY454" s="88"/>
      <c r="AZ454" s="88"/>
      <c r="BA454" s="88"/>
      <c r="BB454" s="88"/>
      <c r="BC454" s="88"/>
      <c r="BD454" s="88"/>
    </row>
    <row r="455" spans="1:56" ht="12.55" x14ac:dyDescent="0.2">
      <c r="A455" s="88"/>
      <c r="B455" s="88"/>
      <c r="C455" s="88"/>
      <c r="D455" s="88"/>
      <c r="E455" s="88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88"/>
      <c r="AL455" s="88"/>
      <c r="AM455" s="88"/>
      <c r="AN455" s="88"/>
      <c r="AO455" s="88"/>
      <c r="AP455" s="88"/>
      <c r="AQ455" s="88"/>
      <c r="AR455" s="88"/>
      <c r="AS455" s="88"/>
      <c r="AT455" s="88"/>
      <c r="AU455" s="88"/>
      <c r="AV455" s="88"/>
      <c r="AW455" s="88"/>
      <c r="AX455" s="88"/>
      <c r="AY455" s="88"/>
      <c r="AZ455" s="88"/>
      <c r="BA455" s="88"/>
      <c r="BB455" s="88"/>
      <c r="BC455" s="88"/>
      <c r="BD455" s="88"/>
    </row>
    <row r="456" spans="1:56" ht="12.55" x14ac:dyDescent="0.2">
      <c r="A456" s="88"/>
      <c r="B456" s="88"/>
      <c r="C456" s="88"/>
      <c r="D456" s="88"/>
      <c r="E456" s="88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88"/>
      <c r="AL456" s="88"/>
      <c r="AM456" s="88"/>
      <c r="AN456" s="88"/>
      <c r="AO456" s="88"/>
      <c r="AP456" s="88"/>
      <c r="AQ456" s="88"/>
      <c r="AR456" s="88"/>
      <c r="AS456" s="88"/>
      <c r="AT456" s="88"/>
      <c r="AU456" s="88"/>
      <c r="AV456" s="88"/>
      <c r="AW456" s="88"/>
      <c r="AX456" s="88"/>
      <c r="AY456" s="88"/>
      <c r="AZ456" s="88"/>
      <c r="BA456" s="88"/>
      <c r="BB456" s="88"/>
      <c r="BC456" s="88"/>
      <c r="BD456" s="88"/>
    </row>
    <row r="457" spans="1:56" ht="12.55" x14ac:dyDescent="0.2">
      <c r="A457" s="88"/>
      <c r="B457" s="88"/>
      <c r="C457" s="88"/>
      <c r="D457" s="88"/>
      <c r="E457" s="88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88"/>
      <c r="AL457" s="88"/>
      <c r="AM457" s="88"/>
      <c r="AN457" s="88"/>
      <c r="AO457" s="88"/>
      <c r="AP457" s="88"/>
      <c r="AQ457" s="88"/>
      <c r="AR457" s="88"/>
      <c r="AS457" s="88"/>
      <c r="AT457" s="88"/>
      <c r="AU457" s="88"/>
      <c r="AV457" s="88"/>
      <c r="AW457" s="88"/>
      <c r="AX457" s="88"/>
      <c r="AY457" s="88"/>
      <c r="AZ457" s="88"/>
      <c r="BA457" s="88"/>
      <c r="BB457" s="88"/>
      <c r="BC457" s="88"/>
      <c r="BD457" s="88"/>
    </row>
    <row r="458" spans="1:56" ht="12.55" x14ac:dyDescent="0.2">
      <c r="A458" s="88"/>
      <c r="B458" s="88"/>
      <c r="C458" s="88"/>
      <c r="D458" s="88"/>
      <c r="E458" s="88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88"/>
      <c r="AL458" s="88"/>
      <c r="AM458" s="88"/>
      <c r="AN458" s="88"/>
      <c r="AO458" s="88"/>
      <c r="AP458" s="88"/>
      <c r="AQ458" s="88"/>
      <c r="AR458" s="88"/>
      <c r="AS458" s="88"/>
      <c r="AT458" s="88"/>
      <c r="AU458" s="88"/>
      <c r="AV458" s="88"/>
      <c r="AW458" s="88"/>
      <c r="AX458" s="88"/>
      <c r="AY458" s="88"/>
      <c r="AZ458" s="88"/>
      <c r="BA458" s="88"/>
      <c r="BB458" s="88"/>
      <c r="BC458" s="88"/>
      <c r="BD458" s="88"/>
    </row>
    <row r="459" spans="1:56" ht="12.55" x14ac:dyDescent="0.2">
      <c r="A459" s="88"/>
      <c r="B459" s="88"/>
      <c r="C459" s="88"/>
      <c r="D459" s="88"/>
      <c r="E459" s="88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88"/>
      <c r="AL459" s="88"/>
      <c r="AM459" s="88"/>
      <c r="AN459" s="88"/>
      <c r="AO459" s="88"/>
      <c r="AP459" s="88"/>
      <c r="AQ459" s="88"/>
      <c r="AR459" s="88"/>
      <c r="AS459" s="88"/>
      <c r="AT459" s="88"/>
      <c r="AU459" s="88"/>
      <c r="AV459" s="88"/>
      <c r="AW459" s="88"/>
      <c r="AX459" s="88"/>
      <c r="AY459" s="88"/>
      <c r="AZ459" s="88"/>
      <c r="BA459" s="88"/>
      <c r="BB459" s="88"/>
      <c r="BC459" s="88"/>
      <c r="BD459" s="88"/>
    </row>
    <row r="460" spans="1:56" ht="12.55" x14ac:dyDescent="0.2">
      <c r="A460" s="88"/>
      <c r="B460" s="88"/>
      <c r="C460" s="88"/>
      <c r="D460" s="88"/>
      <c r="E460" s="88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88"/>
      <c r="AL460" s="88"/>
      <c r="AM460" s="88"/>
      <c r="AN460" s="88"/>
      <c r="AO460" s="88"/>
      <c r="AP460" s="88"/>
      <c r="AQ460" s="88"/>
      <c r="AR460" s="88"/>
      <c r="AS460" s="88"/>
      <c r="AT460" s="88"/>
      <c r="AU460" s="88"/>
      <c r="AV460" s="88"/>
      <c r="AW460" s="88"/>
      <c r="AX460" s="88"/>
      <c r="AY460" s="88"/>
      <c r="AZ460" s="88"/>
      <c r="BA460" s="88"/>
      <c r="BB460" s="88"/>
      <c r="BC460" s="88"/>
      <c r="BD460" s="88"/>
    </row>
    <row r="461" spans="1:56" ht="12.55" x14ac:dyDescent="0.2">
      <c r="A461" s="88"/>
      <c r="B461" s="88"/>
      <c r="C461" s="88"/>
      <c r="D461" s="88"/>
      <c r="E461" s="88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88"/>
      <c r="AL461" s="88"/>
      <c r="AM461" s="88"/>
      <c r="AN461" s="88"/>
      <c r="AO461" s="88"/>
      <c r="AP461" s="88"/>
      <c r="AQ461" s="88"/>
      <c r="AR461" s="88"/>
      <c r="AS461" s="88"/>
      <c r="AT461" s="88"/>
      <c r="AU461" s="88"/>
      <c r="AV461" s="88"/>
      <c r="AW461" s="88"/>
      <c r="AX461" s="88"/>
      <c r="AY461" s="88"/>
      <c r="AZ461" s="88"/>
      <c r="BA461" s="88"/>
      <c r="BB461" s="88"/>
      <c r="BC461" s="88"/>
      <c r="BD461" s="88"/>
    </row>
    <row r="462" spans="1:56" ht="12.55" x14ac:dyDescent="0.2">
      <c r="A462" s="88"/>
      <c r="B462" s="88"/>
      <c r="C462" s="88"/>
      <c r="D462" s="88"/>
      <c r="E462" s="88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88"/>
      <c r="AL462" s="88"/>
      <c r="AM462" s="88"/>
      <c r="AN462" s="88"/>
      <c r="AO462" s="88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  <c r="BA462" s="88"/>
      <c r="BB462" s="88"/>
      <c r="BC462" s="88"/>
      <c r="BD462" s="88"/>
    </row>
    <row r="463" spans="1:56" ht="12.55" x14ac:dyDescent="0.2">
      <c r="A463" s="88"/>
      <c r="B463" s="88"/>
      <c r="C463" s="88"/>
      <c r="D463" s="88"/>
      <c r="E463" s="88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88"/>
      <c r="AL463" s="88"/>
      <c r="AM463" s="88"/>
      <c r="AN463" s="88"/>
      <c r="AO463" s="88"/>
      <c r="AP463" s="88"/>
      <c r="AQ463" s="88"/>
      <c r="AR463" s="88"/>
      <c r="AS463" s="88"/>
      <c r="AT463" s="88"/>
      <c r="AU463" s="88"/>
      <c r="AV463" s="88"/>
      <c r="AW463" s="88"/>
      <c r="AX463" s="88"/>
      <c r="AY463" s="88"/>
      <c r="AZ463" s="88"/>
      <c r="BA463" s="88"/>
      <c r="BB463" s="88"/>
      <c r="BC463" s="88"/>
      <c r="BD463" s="88"/>
    </row>
    <row r="464" spans="1:56" ht="12.55" x14ac:dyDescent="0.2">
      <c r="A464" s="88"/>
      <c r="B464" s="88"/>
      <c r="C464" s="88"/>
      <c r="D464" s="88"/>
      <c r="E464" s="88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88"/>
      <c r="AL464" s="88"/>
      <c r="AM464" s="88"/>
      <c r="AN464" s="88"/>
      <c r="AO464" s="88"/>
      <c r="AP464" s="88"/>
      <c r="AQ464" s="88"/>
      <c r="AR464" s="88"/>
      <c r="AS464" s="88"/>
      <c r="AT464" s="88"/>
      <c r="AU464" s="88"/>
      <c r="AV464" s="88"/>
      <c r="AW464" s="88"/>
      <c r="AX464" s="88"/>
      <c r="AY464" s="88"/>
      <c r="AZ464" s="88"/>
      <c r="BA464" s="88"/>
      <c r="BB464" s="88"/>
      <c r="BC464" s="88"/>
      <c r="BD464" s="88"/>
    </row>
    <row r="465" spans="1:56" ht="12.55" x14ac:dyDescent="0.2">
      <c r="A465" s="88"/>
      <c r="B465" s="88"/>
      <c r="C465" s="88"/>
      <c r="D465" s="88"/>
      <c r="E465" s="88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88"/>
      <c r="AL465" s="88"/>
      <c r="AM465" s="88"/>
      <c r="AN465" s="88"/>
      <c r="AO465" s="88"/>
      <c r="AP465" s="88"/>
      <c r="AQ465" s="88"/>
      <c r="AR465" s="88"/>
      <c r="AS465" s="88"/>
      <c r="AT465" s="88"/>
      <c r="AU465" s="88"/>
      <c r="AV465" s="88"/>
      <c r="AW465" s="88"/>
      <c r="AX465" s="88"/>
      <c r="AY465" s="88"/>
      <c r="AZ465" s="88"/>
      <c r="BA465" s="88"/>
      <c r="BB465" s="88"/>
      <c r="BC465" s="88"/>
      <c r="BD465" s="88"/>
    </row>
    <row r="466" spans="1:56" ht="12.55" x14ac:dyDescent="0.2">
      <c r="A466" s="88"/>
      <c r="B466" s="88"/>
      <c r="C466" s="88"/>
      <c r="D466" s="88"/>
      <c r="E466" s="88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88"/>
      <c r="AL466" s="88"/>
      <c r="AM466" s="88"/>
      <c r="AN466" s="88"/>
      <c r="AO466" s="88"/>
      <c r="AP466" s="88"/>
      <c r="AQ466" s="88"/>
      <c r="AR466" s="88"/>
      <c r="AS466" s="88"/>
      <c r="AT466" s="88"/>
      <c r="AU466" s="88"/>
      <c r="AV466" s="88"/>
      <c r="AW466" s="88"/>
      <c r="AX466" s="88"/>
      <c r="AY466" s="88"/>
      <c r="AZ466" s="88"/>
      <c r="BA466" s="88"/>
      <c r="BB466" s="88"/>
      <c r="BC466" s="88"/>
      <c r="BD466" s="88"/>
    </row>
    <row r="467" spans="1:56" ht="12.55" x14ac:dyDescent="0.2">
      <c r="A467" s="88"/>
      <c r="B467" s="88"/>
      <c r="C467" s="88"/>
      <c r="D467" s="88"/>
      <c r="E467" s="88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88"/>
      <c r="AL467" s="88"/>
      <c r="AM467" s="88"/>
      <c r="AN467" s="88"/>
      <c r="AO467" s="88"/>
      <c r="AP467" s="88"/>
      <c r="AQ467" s="88"/>
      <c r="AR467" s="88"/>
      <c r="AS467" s="88"/>
      <c r="AT467" s="88"/>
      <c r="AU467" s="88"/>
      <c r="AV467" s="88"/>
      <c r="AW467" s="88"/>
      <c r="AX467" s="88"/>
      <c r="AY467" s="88"/>
      <c r="AZ467" s="88"/>
      <c r="BA467" s="88"/>
      <c r="BB467" s="88"/>
      <c r="BC467" s="88"/>
      <c r="BD467" s="88"/>
    </row>
    <row r="468" spans="1:56" ht="12.55" x14ac:dyDescent="0.2">
      <c r="A468" s="88"/>
      <c r="B468" s="88"/>
      <c r="C468" s="88"/>
      <c r="D468" s="88"/>
      <c r="E468" s="88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88"/>
      <c r="AL468" s="88"/>
      <c r="AM468" s="88"/>
      <c r="AN468" s="88"/>
      <c r="AO468" s="88"/>
      <c r="AP468" s="88"/>
      <c r="AQ468" s="88"/>
      <c r="AR468" s="88"/>
      <c r="AS468" s="88"/>
      <c r="AT468" s="88"/>
      <c r="AU468" s="88"/>
      <c r="AV468" s="88"/>
      <c r="AW468" s="88"/>
      <c r="AX468" s="88"/>
      <c r="AY468" s="88"/>
      <c r="AZ468" s="88"/>
      <c r="BA468" s="88"/>
      <c r="BB468" s="88"/>
      <c r="BC468" s="88"/>
      <c r="BD468" s="88"/>
    </row>
    <row r="469" spans="1:56" ht="12.55" x14ac:dyDescent="0.2">
      <c r="A469" s="88"/>
      <c r="B469" s="88"/>
      <c r="C469" s="88"/>
      <c r="D469" s="88"/>
      <c r="E469" s="88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88"/>
      <c r="AL469" s="88"/>
      <c r="AM469" s="88"/>
      <c r="AN469" s="88"/>
      <c r="AO469" s="88"/>
      <c r="AP469" s="88"/>
      <c r="AQ469" s="88"/>
      <c r="AR469" s="88"/>
      <c r="AS469" s="88"/>
      <c r="AT469" s="88"/>
      <c r="AU469" s="88"/>
      <c r="AV469" s="88"/>
      <c r="AW469" s="88"/>
      <c r="AX469" s="88"/>
      <c r="AY469" s="88"/>
      <c r="AZ469" s="88"/>
      <c r="BA469" s="88"/>
      <c r="BB469" s="88"/>
      <c r="BC469" s="88"/>
      <c r="BD469" s="88"/>
    </row>
    <row r="470" spans="1:56" ht="12.55" x14ac:dyDescent="0.2">
      <c r="A470" s="88"/>
      <c r="B470" s="88"/>
      <c r="C470" s="88"/>
      <c r="D470" s="88"/>
      <c r="E470" s="88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  <c r="BC470" s="88"/>
      <c r="BD470" s="88"/>
    </row>
    <row r="471" spans="1:56" ht="12.55" x14ac:dyDescent="0.2">
      <c r="A471" s="88"/>
      <c r="B471" s="88"/>
      <c r="C471" s="88"/>
      <c r="D471" s="88"/>
      <c r="E471" s="88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88"/>
      <c r="AL471" s="88"/>
      <c r="AM471" s="88"/>
      <c r="AN471" s="88"/>
      <c r="AO471" s="88"/>
      <c r="AP471" s="88"/>
      <c r="AQ471" s="88"/>
      <c r="AR471" s="88"/>
      <c r="AS471" s="88"/>
      <c r="AT471" s="88"/>
      <c r="AU471" s="88"/>
      <c r="AV471" s="88"/>
      <c r="AW471" s="88"/>
      <c r="AX471" s="88"/>
      <c r="AY471" s="88"/>
      <c r="AZ471" s="88"/>
      <c r="BA471" s="88"/>
      <c r="BB471" s="88"/>
      <c r="BC471" s="88"/>
      <c r="BD471" s="88"/>
    </row>
    <row r="472" spans="1:56" ht="12.55" x14ac:dyDescent="0.2">
      <c r="A472" s="88"/>
      <c r="B472" s="88"/>
      <c r="C472" s="88"/>
      <c r="D472" s="88"/>
      <c r="E472" s="88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88"/>
      <c r="AL472" s="88"/>
      <c r="AM472" s="88"/>
      <c r="AN472" s="88"/>
      <c r="AO472" s="88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  <c r="AZ472" s="88"/>
      <c r="BA472" s="88"/>
      <c r="BB472" s="88"/>
      <c r="BC472" s="88"/>
      <c r="BD472" s="88"/>
    </row>
    <row r="473" spans="1:56" ht="12.55" x14ac:dyDescent="0.2">
      <c r="A473" s="88"/>
      <c r="B473" s="88"/>
      <c r="C473" s="88"/>
      <c r="D473" s="88"/>
      <c r="E473" s="88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88"/>
      <c r="AL473" s="88"/>
      <c r="AM473" s="88"/>
      <c r="AN473" s="88"/>
      <c r="AO473" s="88"/>
      <c r="AP473" s="88"/>
      <c r="AQ473" s="88"/>
      <c r="AR473" s="88"/>
      <c r="AS473" s="88"/>
      <c r="AT473" s="88"/>
      <c r="AU473" s="88"/>
      <c r="AV473" s="88"/>
      <c r="AW473" s="88"/>
      <c r="AX473" s="88"/>
      <c r="AY473" s="88"/>
      <c r="AZ473" s="88"/>
      <c r="BA473" s="88"/>
      <c r="BB473" s="88"/>
      <c r="BC473" s="88"/>
      <c r="BD473" s="88"/>
    </row>
    <row r="474" spans="1:56" ht="12.55" x14ac:dyDescent="0.2">
      <c r="A474" s="88"/>
      <c r="B474" s="88"/>
      <c r="C474" s="88"/>
      <c r="D474" s="88"/>
      <c r="E474" s="88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/>
      <c r="BB474" s="88"/>
      <c r="BC474" s="88"/>
      <c r="BD474" s="88"/>
    </row>
    <row r="475" spans="1:56" ht="12.55" x14ac:dyDescent="0.2">
      <c r="A475" s="88"/>
      <c r="B475" s="88"/>
      <c r="C475" s="88"/>
      <c r="D475" s="88"/>
      <c r="E475" s="88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88"/>
      <c r="AL475" s="88"/>
      <c r="AM475" s="88"/>
      <c r="AN475" s="88"/>
      <c r="AO475" s="88"/>
      <c r="AP475" s="88"/>
      <c r="AQ475" s="88"/>
      <c r="AR475" s="88"/>
      <c r="AS475" s="88"/>
      <c r="AT475" s="88"/>
      <c r="AU475" s="88"/>
      <c r="AV475" s="88"/>
      <c r="AW475" s="88"/>
      <c r="AX475" s="88"/>
      <c r="AY475" s="88"/>
      <c r="AZ475" s="88"/>
      <c r="BA475" s="88"/>
      <c r="BB475" s="88"/>
      <c r="BC475" s="88"/>
      <c r="BD475" s="88"/>
    </row>
    <row r="476" spans="1:56" ht="12.55" x14ac:dyDescent="0.2">
      <c r="A476" s="88"/>
      <c r="B476" s="88"/>
      <c r="C476" s="88"/>
      <c r="D476" s="88"/>
      <c r="E476" s="88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88"/>
      <c r="AL476" s="88"/>
      <c r="AM476" s="88"/>
      <c r="AN476" s="88"/>
      <c r="AO476" s="88"/>
      <c r="AP476" s="88"/>
      <c r="AQ476" s="88"/>
      <c r="AR476" s="88"/>
      <c r="AS476" s="88"/>
      <c r="AT476" s="88"/>
      <c r="AU476" s="88"/>
      <c r="AV476" s="88"/>
      <c r="AW476" s="88"/>
      <c r="AX476" s="88"/>
      <c r="AY476" s="88"/>
      <c r="AZ476" s="88"/>
      <c r="BA476" s="88"/>
      <c r="BB476" s="88"/>
      <c r="BC476" s="88"/>
      <c r="BD476" s="88"/>
    </row>
    <row r="477" spans="1:56" ht="12.55" x14ac:dyDescent="0.2">
      <c r="A477" s="88"/>
      <c r="B477" s="88"/>
      <c r="C477" s="88"/>
      <c r="D477" s="88"/>
      <c r="E477" s="88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88"/>
      <c r="AL477" s="88"/>
      <c r="AM477" s="88"/>
      <c r="AN477" s="88"/>
      <c r="AO477" s="88"/>
      <c r="AP477" s="88"/>
      <c r="AQ477" s="88"/>
      <c r="AR477" s="88"/>
      <c r="AS477" s="88"/>
      <c r="AT477" s="88"/>
      <c r="AU477" s="88"/>
      <c r="AV477" s="88"/>
      <c r="AW477" s="88"/>
      <c r="AX477" s="88"/>
      <c r="AY477" s="88"/>
      <c r="AZ477" s="88"/>
      <c r="BA477" s="88"/>
      <c r="BB477" s="88"/>
      <c r="BC477" s="88"/>
      <c r="BD477" s="88"/>
    </row>
    <row r="478" spans="1:56" ht="12.55" x14ac:dyDescent="0.2">
      <c r="A478" s="88"/>
      <c r="B478" s="88"/>
      <c r="C478" s="88"/>
      <c r="D478" s="88"/>
      <c r="E478" s="88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88"/>
      <c r="AL478" s="88"/>
      <c r="AM478" s="88"/>
      <c r="AN478" s="88"/>
      <c r="AO478" s="88"/>
      <c r="AP478" s="88"/>
      <c r="AQ478" s="88"/>
      <c r="AR478" s="88"/>
      <c r="AS478" s="88"/>
      <c r="AT478" s="88"/>
      <c r="AU478" s="88"/>
      <c r="AV478" s="88"/>
      <c r="AW478" s="88"/>
      <c r="AX478" s="88"/>
      <c r="AY478" s="88"/>
      <c r="AZ478" s="88"/>
      <c r="BA478" s="88"/>
      <c r="BB478" s="88"/>
      <c r="BC478" s="88"/>
      <c r="BD478" s="88"/>
    </row>
    <row r="479" spans="1:56" ht="12.55" x14ac:dyDescent="0.2">
      <c r="A479" s="88"/>
      <c r="B479" s="88"/>
      <c r="C479" s="88"/>
      <c r="D479" s="88"/>
      <c r="E479" s="88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88"/>
      <c r="AL479" s="88"/>
      <c r="AM479" s="88"/>
      <c r="AN479" s="88"/>
      <c r="AO479" s="88"/>
      <c r="AP479" s="88"/>
      <c r="AQ479" s="88"/>
      <c r="AR479" s="88"/>
      <c r="AS479" s="88"/>
      <c r="AT479" s="88"/>
      <c r="AU479" s="88"/>
      <c r="AV479" s="88"/>
      <c r="AW479" s="88"/>
      <c r="AX479" s="88"/>
      <c r="AY479" s="88"/>
      <c r="AZ479" s="88"/>
      <c r="BA479" s="88"/>
      <c r="BB479" s="88"/>
      <c r="BC479" s="88"/>
      <c r="BD479" s="88"/>
    </row>
    <row r="480" spans="1:56" ht="12.55" x14ac:dyDescent="0.2">
      <c r="A480" s="88"/>
      <c r="B480" s="88"/>
      <c r="C480" s="88"/>
      <c r="D480" s="88"/>
      <c r="E480" s="88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88"/>
      <c r="AL480" s="88"/>
      <c r="AM480" s="88"/>
      <c r="AN480" s="88"/>
      <c r="AO480" s="88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  <c r="BA480" s="88"/>
      <c r="BB480" s="88"/>
      <c r="BC480" s="88"/>
      <c r="BD480" s="88"/>
    </row>
    <row r="481" spans="1:56" ht="12.55" x14ac:dyDescent="0.2">
      <c r="A481" s="88"/>
      <c r="B481" s="88"/>
      <c r="C481" s="88"/>
      <c r="D481" s="88"/>
      <c r="E481" s="88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88"/>
      <c r="AL481" s="88"/>
      <c r="AM481" s="88"/>
      <c r="AN481" s="88"/>
      <c r="AO481" s="88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  <c r="BA481" s="88"/>
      <c r="BB481" s="88"/>
      <c r="BC481" s="88"/>
      <c r="BD481" s="88"/>
    </row>
    <row r="482" spans="1:56" ht="12.55" x14ac:dyDescent="0.2">
      <c r="A482" s="88"/>
      <c r="B482" s="88"/>
      <c r="C482" s="88"/>
      <c r="D482" s="88"/>
      <c r="E482" s="88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88"/>
      <c r="AL482" s="88"/>
      <c r="AM482" s="88"/>
      <c r="AN482" s="88"/>
      <c r="AO482" s="88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  <c r="BA482" s="88"/>
      <c r="BB482" s="88"/>
      <c r="BC482" s="88"/>
      <c r="BD482" s="88"/>
    </row>
    <row r="483" spans="1:56" ht="12.55" x14ac:dyDescent="0.2">
      <c r="A483" s="88"/>
      <c r="B483" s="88"/>
      <c r="C483" s="88"/>
      <c r="D483" s="88"/>
      <c r="E483" s="88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88"/>
      <c r="AL483" s="88"/>
      <c r="AM483" s="88"/>
      <c r="AN483" s="88"/>
      <c r="AO483" s="88"/>
      <c r="AP483" s="88"/>
      <c r="AQ483" s="88"/>
      <c r="AR483" s="88"/>
      <c r="AS483" s="88"/>
      <c r="AT483" s="88"/>
      <c r="AU483" s="88"/>
      <c r="AV483" s="88"/>
      <c r="AW483" s="88"/>
      <c r="AX483" s="88"/>
      <c r="AY483" s="88"/>
      <c r="AZ483" s="88"/>
      <c r="BA483" s="88"/>
      <c r="BB483" s="88"/>
      <c r="BC483" s="88"/>
      <c r="BD483" s="88"/>
    </row>
    <row r="484" spans="1:56" ht="12.55" x14ac:dyDescent="0.2">
      <c r="A484" s="88"/>
      <c r="B484" s="88"/>
      <c r="C484" s="88"/>
      <c r="D484" s="88"/>
      <c r="E484" s="88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88"/>
      <c r="AL484" s="88"/>
      <c r="AM484" s="88"/>
      <c r="AN484" s="88"/>
      <c r="AO484" s="88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  <c r="BA484" s="88"/>
      <c r="BB484" s="88"/>
      <c r="BC484" s="88"/>
      <c r="BD484" s="88"/>
    </row>
    <row r="485" spans="1:56" ht="12.55" x14ac:dyDescent="0.2">
      <c r="A485" s="88"/>
      <c r="B485" s="88"/>
      <c r="C485" s="88"/>
      <c r="D485" s="88"/>
      <c r="E485" s="88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88"/>
      <c r="AL485" s="88"/>
      <c r="AM485" s="88"/>
      <c r="AN485" s="88"/>
      <c r="AO485" s="88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  <c r="BA485" s="88"/>
      <c r="BB485" s="88"/>
      <c r="BC485" s="88"/>
      <c r="BD485" s="88"/>
    </row>
    <row r="486" spans="1:56" ht="12.55" x14ac:dyDescent="0.2">
      <c r="A486" s="88"/>
      <c r="B486" s="88"/>
      <c r="C486" s="88"/>
      <c r="D486" s="88"/>
      <c r="E486" s="88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88"/>
      <c r="AL486" s="88"/>
      <c r="AM486" s="88"/>
      <c r="AN486" s="88"/>
      <c r="AO486" s="88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  <c r="BA486" s="88"/>
      <c r="BB486" s="88"/>
      <c r="BC486" s="88"/>
      <c r="BD486" s="88"/>
    </row>
    <row r="487" spans="1:56" ht="12.55" x14ac:dyDescent="0.2">
      <c r="A487" s="88"/>
      <c r="B487" s="88"/>
      <c r="C487" s="88"/>
      <c r="D487" s="88"/>
      <c r="E487" s="88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88"/>
      <c r="AL487" s="88"/>
      <c r="AM487" s="88"/>
      <c r="AN487" s="88"/>
      <c r="AO487" s="88"/>
      <c r="AP487" s="88"/>
      <c r="AQ487" s="88"/>
      <c r="AR487" s="88"/>
      <c r="AS487" s="88"/>
      <c r="AT487" s="88"/>
      <c r="AU487" s="88"/>
      <c r="AV487" s="88"/>
      <c r="AW487" s="88"/>
      <c r="AX487" s="88"/>
      <c r="AY487" s="88"/>
      <c r="AZ487" s="88"/>
      <c r="BA487" s="88"/>
      <c r="BB487" s="88"/>
      <c r="BC487" s="88"/>
      <c r="BD487" s="88"/>
    </row>
    <row r="488" spans="1:56" ht="12.55" x14ac:dyDescent="0.2">
      <c r="A488" s="88"/>
      <c r="B488" s="88"/>
      <c r="C488" s="88"/>
      <c r="D488" s="88"/>
      <c r="E488" s="88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88"/>
      <c r="AL488" s="88"/>
      <c r="AM488" s="88"/>
      <c r="AN488" s="88"/>
      <c r="AO488" s="88"/>
      <c r="AP488" s="88"/>
      <c r="AQ488" s="88"/>
      <c r="AR488" s="88"/>
      <c r="AS488" s="88"/>
      <c r="AT488" s="88"/>
      <c r="AU488" s="88"/>
      <c r="AV488" s="88"/>
      <c r="AW488" s="88"/>
      <c r="AX488" s="88"/>
      <c r="AY488" s="88"/>
      <c r="AZ488" s="88"/>
      <c r="BA488" s="88"/>
      <c r="BB488" s="88"/>
      <c r="BC488" s="88"/>
      <c r="BD488" s="88"/>
    </row>
    <row r="489" spans="1:56" ht="12.55" x14ac:dyDescent="0.2">
      <c r="A489" s="88"/>
      <c r="B489" s="88"/>
      <c r="C489" s="88"/>
      <c r="D489" s="88"/>
      <c r="E489" s="88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88"/>
      <c r="AL489" s="88"/>
      <c r="AM489" s="88"/>
      <c r="AN489" s="88"/>
      <c r="AO489" s="88"/>
      <c r="AP489" s="88"/>
      <c r="AQ489" s="88"/>
      <c r="AR489" s="88"/>
      <c r="AS489" s="88"/>
      <c r="AT489" s="88"/>
      <c r="AU489" s="88"/>
      <c r="AV489" s="88"/>
      <c r="AW489" s="88"/>
      <c r="AX489" s="88"/>
      <c r="AY489" s="88"/>
      <c r="AZ489" s="88"/>
      <c r="BA489" s="88"/>
      <c r="BB489" s="88"/>
      <c r="BC489" s="88"/>
      <c r="BD489" s="88"/>
    </row>
    <row r="490" spans="1:56" ht="12.55" x14ac:dyDescent="0.2">
      <c r="A490" s="88"/>
      <c r="B490" s="88"/>
      <c r="C490" s="88"/>
      <c r="D490" s="88"/>
      <c r="E490" s="88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88"/>
      <c r="AL490" s="88"/>
      <c r="AM490" s="88"/>
      <c r="AN490" s="88"/>
      <c r="AO490" s="88"/>
      <c r="AP490" s="88"/>
      <c r="AQ490" s="88"/>
      <c r="AR490" s="88"/>
      <c r="AS490" s="88"/>
      <c r="AT490" s="88"/>
      <c r="AU490" s="88"/>
      <c r="AV490" s="88"/>
      <c r="AW490" s="88"/>
      <c r="AX490" s="88"/>
      <c r="AY490" s="88"/>
      <c r="AZ490" s="88"/>
      <c r="BA490" s="88"/>
      <c r="BB490" s="88"/>
      <c r="BC490" s="88"/>
      <c r="BD490" s="88"/>
    </row>
    <row r="491" spans="1:56" ht="12.55" x14ac:dyDescent="0.2">
      <c r="A491" s="88"/>
      <c r="B491" s="88"/>
      <c r="C491" s="88"/>
      <c r="D491" s="88"/>
      <c r="E491" s="88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88"/>
      <c r="AL491" s="88"/>
      <c r="AM491" s="88"/>
      <c r="AN491" s="88"/>
      <c r="AO491" s="88"/>
      <c r="AP491" s="88"/>
      <c r="AQ491" s="88"/>
      <c r="AR491" s="88"/>
      <c r="AS491" s="88"/>
      <c r="AT491" s="88"/>
      <c r="AU491" s="88"/>
      <c r="AV491" s="88"/>
      <c r="AW491" s="88"/>
      <c r="AX491" s="88"/>
      <c r="AY491" s="88"/>
      <c r="AZ491" s="88"/>
      <c r="BA491" s="88"/>
      <c r="BB491" s="88"/>
      <c r="BC491" s="88"/>
      <c r="BD491" s="88"/>
    </row>
    <row r="492" spans="1:56" ht="12.55" x14ac:dyDescent="0.2">
      <c r="A492" s="88"/>
      <c r="B492" s="88"/>
      <c r="C492" s="88"/>
      <c r="D492" s="88"/>
      <c r="E492" s="88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88"/>
      <c r="AL492" s="88"/>
      <c r="AM492" s="88"/>
      <c r="AN492" s="88"/>
      <c r="AO492" s="88"/>
      <c r="AP492" s="88"/>
      <c r="AQ492" s="88"/>
      <c r="AR492" s="88"/>
      <c r="AS492" s="88"/>
      <c r="AT492" s="88"/>
      <c r="AU492" s="88"/>
      <c r="AV492" s="88"/>
      <c r="AW492" s="88"/>
      <c r="AX492" s="88"/>
      <c r="AY492" s="88"/>
      <c r="AZ492" s="88"/>
      <c r="BA492" s="88"/>
      <c r="BB492" s="88"/>
      <c r="BC492" s="88"/>
      <c r="BD492" s="88"/>
    </row>
    <row r="493" spans="1:56" ht="12.55" x14ac:dyDescent="0.2">
      <c r="A493" s="88"/>
      <c r="B493" s="88"/>
      <c r="C493" s="88"/>
      <c r="D493" s="88"/>
      <c r="E493" s="88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88"/>
      <c r="AL493" s="88"/>
      <c r="AM493" s="88"/>
      <c r="AN493" s="88"/>
      <c r="AO493" s="88"/>
      <c r="AP493" s="88"/>
      <c r="AQ493" s="88"/>
      <c r="AR493" s="88"/>
      <c r="AS493" s="88"/>
      <c r="AT493" s="88"/>
      <c r="AU493" s="88"/>
      <c r="AV493" s="88"/>
      <c r="AW493" s="88"/>
      <c r="AX493" s="88"/>
      <c r="AY493" s="88"/>
      <c r="AZ493" s="88"/>
      <c r="BA493" s="88"/>
      <c r="BB493" s="88"/>
      <c r="BC493" s="88"/>
      <c r="BD493" s="88"/>
    </row>
    <row r="494" spans="1:56" ht="12.55" x14ac:dyDescent="0.2">
      <c r="A494" s="88"/>
      <c r="B494" s="88"/>
      <c r="C494" s="88"/>
      <c r="D494" s="88"/>
      <c r="E494" s="88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88"/>
      <c r="AL494" s="88"/>
      <c r="AM494" s="88"/>
      <c r="AN494" s="88"/>
      <c r="AO494" s="88"/>
      <c r="AP494" s="88"/>
      <c r="AQ494" s="88"/>
      <c r="AR494" s="88"/>
      <c r="AS494" s="88"/>
      <c r="AT494" s="88"/>
      <c r="AU494" s="88"/>
      <c r="AV494" s="88"/>
      <c r="AW494" s="88"/>
      <c r="AX494" s="88"/>
      <c r="AY494" s="88"/>
      <c r="AZ494" s="88"/>
      <c r="BA494" s="88"/>
      <c r="BB494" s="88"/>
      <c r="BC494" s="88"/>
      <c r="BD494" s="88"/>
    </row>
    <row r="495" spans="1:56" ht="12.55" x14ac:dyDescent="0.2">
      <c r="A495" s="88"/>
      <c r="B495" s="88"/>
      <c r="C495" s="88"/>
      <c r="D495" s="88"/>
      <c r="E495" s="88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88"/>
      <c r="AL495" s="88"/>
      <c r="AM495" s="88"/>
      <c r="AN495" s="88"/>
      <c r="AO495" s="88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  <c r="BA495" s="88"/>
      <c r="BB495" s="88"/>
      <c r="BC495" s="88"/>
      <c r="BD495" s="88"/>
    </row>
    <row r="496" spans="1:56" ht="12.55" x14ac:dyDescent="0.2">
      <c r="A496" s="88"/>
      <c r="B496" s="88"/>
      <c r="C496" s="88"/>
      <c r="D496" s="88"/>
      <c r="E496" s="88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88"/>
      <c r="AL496" s="88"/>
      <c r="AM496" s="88"/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  <c r="BA496" s="88"/>
      <c r="BB496" s="88"/>
      <c r="BC496" s="88"/>
      <c r="BD496" s="88"/>
    </row>
    <row r="497" spans="1:56" ht="12.55" x14ac:dyDescent="0.2">
      <c r="A497" s="88"/>
      <c r="B497" s="88"/>
      <c r="C497" s="88"/>
      <c r="D497" s="88"/>
      <c r="E497" s="88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88"/>
      <c r="AL497" s="88"/>
      <c r="AM497" s="88"/>
      <c r="AN497" s="88"/>
      <c r="AO497" s="88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  <c r="BA497" s="88"/>
      <c r="BB497" s="88"/>
      <c r="BC497" s="88"/>
      <c r="BD497" s="88"/>
    </row>
    <row r="498" spans="1:56" ht="12.55" x14ac:dyDescent="0.2">
      <c r="A498" s="88"/>
      <c r="B498" s="88"/>
      <c r="C498" s="88"/>
      <c r="D498" s="88"/>
      <c r="E498" s="88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88"/>
      <c r="AL498" s="88"/>
      <c r="AM498" s="88"/>
      <c r="AN498" s="88"/>
      <c r="AO498" s="88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  <c r="BA498" s="88"/>
      <c r="BB498" s="88"/>
      <c r="BC498" s="88"/>
      <c r="BD498" s="88"/>
    </row>
    <row r="499" spans="1:56" ht="12.55" x14ac:dyDescent="0.2">
      <c r="A499" s="88"/>
      <c r="B499" s="88"/>
      <c r="C499" s="88"/>
      <c r="D499" s="88"/>
      <c r="E499" s="88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88"/>
      <c r="AL499" s="88"/>
      <c r="AM499" s="88"/>
      <c r="AN499" s="88"/>
      <c r="AO499" s="88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  <c r="BA499" s="88"/>
      <c r="BB499" s="88"/>
      <c r="BC499" s="88"/>
      <c r="BD499" s="88"/>
    </row>
    <row r="500" spans="1:56" ht="12.55" x14ac:dyDescent="0.2">
      <c r="A500" s="88"/>
      <c r="B500" s="88"/>
      <c r="C500" s="88"/>
      <c r="D500" s="88"/>
      <c r="E500" s="88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88"/>
      <c r="AL500" s="88"/>
      <c r="AM500" s="88"/>
      <c r="AN500" s="88"/>
      <c r="AO500" s="88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  <c r="BA500" s="88"/>
      <c r="BB500" s="88"/>
      <c r="BC500" s="88"/>
      <c r="BD500" s="88"/>
    </row>
    <row r="501" spans="1:56" ht="12.55" x14ac:dyDescent="0.2">
      <c r="A501" s="88"/>
      <c r="B501" s="88"/>
      <c r="C501" s="88"/>
      <c r="D501" s="88"/>
      <c r="E501" s="88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88"/>
      <c r="AL501" s="88"/>
      <c r="AM501" s="88"/>
      <c r="AN501" s="88"/>
      <c r="AO501" s="88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  <c r="BA501" s="88"/>
      <c r="BB501" s="88"/>
      <c r="BC501" s="88"/>
      <c r="BD501" s="88"/>
    </row>
    <row r="502" spans="1:56" ht="12.55" x14ac:dyDescent="0.2">
      <c r="A502" s="88"/>
      <c r="B502" s="88"/>
      <c r="C502" s="88"/>
      <c r="D502" s="88"/>
      <c r="E502" s="88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88"/>
      <c r="AL502" s="88"/>
      <c r="AM502" s="88"/>
      <c r="AN502" s="88"/>
      <c r="AO502" s="88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  <c r="BA502" s="88"/>
      <c r="BB502" s="88"/>
      <c r="BC502" s="88"/>
      <c r="BD502" s="88"/>
    </row>
    <row r="503" spans="1:56" ht="12.55" x14ac:dyDescent="0.2">
      <c r="A503" s="88"/>
      <c r="B503" s="88"/>
      <c r="C503" s="88"/>
      <c r="D503" s="88"/>
      <c r="E503" s="88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88"/>
      <c r="AL503" s="88"/>
      <c r="AM503" s="88"/>
      <c r="AN503" s="88"/>
      <c r="AO503" s="88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  <c r="BA503" s="88"/>
      <c r="BB503" s="88"/>
      <c r="BC503" s="88"/>
      <c r="BD503" s="88"/>
    </row>
    <row r="504" spans="1:56" ht="12.55" x14ac:dyDescent="0.2">
      <c r="A504" s="88"/>
      <c r="B504" s="88"/>
      <c r="C504" s="88"/>
      <c r="D504" s="88"/>
      <c r="E504" s="88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88"/>
      <c r="AL504" s="88"/>
      <c r="AM504" s="88"/>
      <c r="AN504" s="88"/>
      <c r="AO504" s="88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  <c r="BA504" s="88"/>
      <c r="BB504" s="88"/>
      <c r="BC504" s="88"/>
      <c r="BD504" s="88"/>
    </row>
    <row r="505" spans="1:56" ht="12.55" x14ac:dyDescent="0.2">
      <c r="A505" s="88"/>
      <c r="B505" s="88"/>
      <c r="C505" s="88"/>
      <c r="D505" s="88"/>
      <c r="E505" s="88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88"/>
      <c r="AL505" s="88"/>
      <c r="AM505" s="88"/>
      <c r="AN505" s="88"/>
      <c r="AO505" s="88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  <c r="BA505" s="88"/>
      <c r="BB505" s="88"/>
      <c r="BC505" s="88"/>
      <c r="BD505" s="88"/>
    </row>
    <row r="506" spans="1:56" ht="12.55" x14ac:dyDescent="0.2">
      <c r="A506" s="88"/>
      <c r="B506" s="88"/>
      <c r="C506" s="88"/>
      <c r="D506" s="88"/>
      <c r="E506" s="88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88"/>
      <c r="AL506" s="88"/>
      <c r="AM506" s="88"/>
      <c r="AN506" s="88"/>
      <c r="AO506" s="88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  <c r="BA506" s="88"/>
      <c r="BB506" s="88"/>
      <c r="BC506" s="88"/>
      <c r="BD506" s="88"/>
    </row>
    <row r="507" spans="1:56" ht="12.55" x14ac:dyDescent="0.2">
      <c r="A507" s="88"/>
      <c r="B507" s="88"/>
      <c r="C507" s="88"/>
      <c r="D507" s="88"/>
      <c r="E507" s="88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88"/>
      <c r="AL507" s="88"/>
      <c r="AM507" s="88"/>
      <c r="AN507" s="88"/>
      <c r="AO507" s="88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  <c r="BA507" s="88"/>
      <c r="BB507" s="88"/>
      <c r="BC507" s="88"/>
      <c r="BD507" s="88"/>
    </row>
    <row r="508" spans="1:56" ht="12.55" x14ac:dyDescent="0.2">
      <c r="A508" s="88"/>
      <c r="B508" s="88"/>
      <c r="C508" s="88"/>
      <c r="D508" s="88"/>
      <c r="E508" s="88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88"/>
      <c r="AL508" s="88"/>
      <c r="AM508" s="88"/>
      <c r="AN508" s="88"/>
      <c r="AO508" s="88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  <c r="BA508" s="88"/>
      <c r="BB508" s="88"/>
      <c r="BC508" s="88"/>
      <c r="BD508" s="88"/>
    </row>
    <row r="509" spans="1:56" ht="12.55" x14ac:dyDescent="0.2">
      <c r="A509" s="88"/>
      <c r="B509" s="88"/>
      <c r="C509" s="88"/>
      <c r="D509" s="88"/>
      <c r="E509" s="88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88"/>
      <c r="AL509" s="88"/>
      <c r="AM509" s="88"/>
      <c r="AN509" s="88"/>
      <c r="AO509" s="88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  <c r="BA509" s="88"/>
      <c r="BB509" s="88"/>
      <c r="BC509" s="88"/>
      <c r="BD509" s="88"/>
    </row>
    <row r="510" spans="1:56" ht="12.55" x14ac:dyDescent="0.2">
      <c r="A510" s="88"/>
      <c r="B510" s="88"/>
      <c r="C510" s="88"/>
      <c r="D510" s="88"/>
      <c r="E510" s="88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88"/>
      <c r="AL510" s="88"/>
      <c r="AM510" s="88"/>
      <c r="AN510" s="88"/>
      <c r="AO510" s="88"/>
      <c r="AP510" s="88"/>
      <c r="AQ510" s="88"/>
      <c r="AR510" s="88"/>
      <c r="AS510" s="88"/>
      <c r="AT510" s="88"/>
      <c r="AU510" s="88"/>
      <c r="AV510" s="88"/>
      <c r="AW510" s="88"/>
      <c r="AX510" s="88"/>
      <c r="AY510" s="88"/>
      <c r="AZ510" s="88"/>
      <c r="BA510" s="88"/>
      <c r="BB510" s="88"/>
      <c r="BC510" s="88"/>
      <c r="BD510" s="88"/>
    </row>
    <row r="511" spans="1:56" ht="12.55" x14ac:dyDescent="0.2">
      <c r="A511" s="88"/>
      <c r="B511" s="88"/>
      <c r="C511" s="88"/>
      <c r="D511" s="88"/>
      <c r="E511" s="88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88"/>
      <c r="AL511" s="88"/>
      <c r="AM511" s="88"/>
      <c r="AN511" s="88"/>
      <c r="AO511" s="88"/>
      <c r="AP511" s="88"/>
      <c r="AQ511" s="88"/>
      <c r="AR511" s="88"/>
      <c r="AS511" s="88"/>
      <c r="AT511" s="88"/>
      <c r="AU511" s="88"/>
      <c r="AV511" s="88"/>
      <c r="AW511" s="88"/>
      <c r="AX511" s="88"/>
      <c r="AY511" s="88"/>
      <c r="AZ511" s="88"/>
      <c r="BA511" s="88"/>
      <c r="BB511" s="88"/>
      <c r="BC511" s="88"/>
      <c r="BD511" s="88"/>
    </row>
    <row r="512" spans="1:56" ht="12.55" x14ac:dyDescent="0.2">
      <c r="A512" s="88"/>
      <c r="B512" s="88"/>
      <c r="C512" s="88"/>
      <c r="D512" s="88"/>
      <c r="E512" s="88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88"/>
      <c r="AL512" s="88"/>
      <c r="AM512" s="88"/>
      <c r="AN512" s="88"/>
      <c r="AO512" s="88"/>
      <c r="AP512" s="88"/>
      <c r="AQ512" s="88"/>
      <c r="AR512" s="88"/>
      <c r="AS512" s="88"/>
      <c r="AT512" s="88"/>
      <c r="AU512" s="88"/>
      <c r="AV512" s="88"/>
      <c r="AW512" s="88"/>
      <c r="AX512" s="88"/>
      <c r="AY512" s="88"/>
      <c r="AZ512" s="88"/>
      <c r="BA512" s="88"/>
      <c r="BB512" s="88"/>
      <c r="BC512" s="88"/>
      <c r="BD512" s="88"/>
    </row>
    <row r="513" spans="1:56" ht="12.55" x14ac:dyDescent="0.2">
      <c r="A513" s="88"/>
      <c r="B513" s="88"/>
      <c r="C513" s="88"/>
      <c r="D513" s="88"/>
      <c r="E513" s="88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88"/>
      <c r="AL513" s="88"/>
      <c r="AM513" s="88"/>
      <c r="AN513" s="88"/>
      <c r="AO513" s="88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  <c r="BA513" s="88"/>
      <c r="BB513" s="88"/>
      <c r="BC513" s="88"/>
      <c r="BD513" s="88"/>
    </row>
    <row r="514" spans="1:56" ht="12.55" x14ac:dyDescent="0.2">
      <c r="A514" s="88"/>
      <c r="B514" s="88"/>
      <c r="C514" s="88"/>
      <c r="D514" s="88"/>
      <c r="E514" s="88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88"/>
      <c r="AL514" s="88"/>
      <c r="AM514" s="88"/>
      <c r="AN514" s="88"/>
      <c r="AO514" s="88"/>
      <c r="AP514" s="88"/>
      <c r="AQ514" s="88"/>
      <c r="AR514" s="88"/>
      <c r="AS514" s="88"/>
      <c r="AT514" s="88"/>
      <c r="AU514" s="88"/>
      <c r="AV514" s="88"/>
      <c r="AW514" s="88"/>
      <c r="AX514" s="88"/>
      <c r="AY514" s="88"/>
      <c r="AZ514" s="88"/>
      <c r="BA514" s="88"/>
      <c r="BB514" s="88"/>
      <c r="BC514" s="88"/>
      <c r="BD514" s="88"/>
    </row>
    <row r="515" spans="1:56" ht="12.55" x14ac:dyDescent="0.2">
      <c r="A515" s="88"/>
      <c r="B515" s="88"/>
      <c r="C515" s="88"/>
      <c r="D515" s="88"/>
      <c r="E515" s="88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88"/>
      <c r="AL515" s="88"/>
      <c r="AM515" s="88"/>
      <c r="AN515" s="88"/>
      <c r="AO515" s="88"/>
      <c r="AP515" s="88"/>
      <c r="AQ515" s="88"/>
      <c r="AR515" s="88"/>
      <c r="AS515" s="88"/>
      <c r="AT515" s="88"/>
      <c r="AU515" s="88"/>
      <c r="AV515" s="88"/>
      <c r="AW515" s="88"/>
      <c r="AX515" s="88"/>
      <c r="AY515" s="88"/>
      <c r="AZ515" s="88"/>
      <c r="BA515" s="88"/>
      <c r="BB515" s="88"/>
      <c r="BC515" s="88"/>
      <c r="BD515" s="88"/>
    </row>
    <row r="516" spans="1:56" ht="12.55" x14ac:dyDescent="0.2">
      <c r="A516" s="88"/>
      <c r="B516" s="88"/>
      <c r="C516" s="88"/>
      <c r="D516" s="88"/>
      <c r="E516" s="88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88"/>
      <c r="AL516" s="88"/>
      <c r="AM516" s="88"/>
      <c r="AN516" s="88"/>
      <c r="AO516" s="88"/>
      <c r="AP516" s="88"/>
      <c r="AQ516" s="88"/>
      <c r="AR516" s="88"/>
      <c r="AS516" s="88"/>
      <c r="AT516" s="88"/>
      <c r="AU516" s="88"/>
      <c r="AV516" s="88"/>
      <c r="AW516" s="88"/>
      <c r="AX516" s="88"/>
      <c r="AY516" s="88"/>
      <c r="AZ516" s="88"/>
      <c r="BA516" s="88"/>
      <c r="BB516" s="88"/>
      <c r="BC516" s="88"/>
      <c r="BD516" s="88"/>
    </row>
    <row r="517" spans="1:56" ht="12.55" x14ac:dyDescent="0.2">
      <c r="A517" s="88"/>
      <c r="B517" s="88"/>
      <c r="C517" s="88"/>
      <c r="D517" s="88"/>
      <c r="E517" s="88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88"/>
      <c r="AL517" s="88"/>
      <c r="AM517" s="88"/>
      <c r="AN517" s="88"/>
      <c r="AO517" s="88"/>
      <c r="AP517" s="88"/>
      <c r="AQ517" s="88"/>
      <c r="AR517" s="88"/>
      <c r="AS517" s="88"/>
      <c r="AT517" s="88"/>
      <c r="AU517" s="88"/>
      <c r="AV517" s="88"/>
      <c r="AW517" s="88"/>
      <c r="AX517" s="88"/>
      <c r="AY517" s="88"/>
      <c r="AZ517" s="88"/>
      <c r="BA517" s="88"/>
      <c r="BB517" s="88"/>
      <c r="BC517" s="88"/>
      <c r="BD517" s="88"/>
    </row>
    <row r="518" spans="1:56" ht="12.55" x14ac:dyDescent="0.2">
      <c r="A518" s="88"/>
      <c r="B518" s="88"/>
      <c r="C518" s="88"/>
      <c r="D518" s="88"/>
      <c r="E518" s="88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88"/>
      <c r="AL518" s="88"/>
      <c r="AM518" s="88"/>
      <c r="AN518" s="88"/>
      <c r="AO518" s="88"/>
      <c r="AP518" s="88"/>
      <c r="AQ518" s="88"/>
      <c r="AR518" s="88"/>
      <c r="AS518" s="88"/>
      <c r="AT518" s="88"/>
      <c r="AU518" s="88"/>
      <c r="AV518" s="88"/>
      <c r="AW518" s="88"/>
      <c r="AX518" s="88"/>
      <c r="AY518" s="88"/>
      <c r="AZ518" s="88"/>
      <c r="BA518" s="88"/>
      <c r="BB518" s="88"/>
      <c r="BC518" s="88"/>
      <c r="BD518" s="88"/>
    </row>
    <row r="519" spans="1:56" ht="12.55" x14ac:dyDescent="0.2">
      <c r="A519" s="88"/>
      <c r="B519" s="88"/>
      <c r="C519" s="88"/>
      <c r="D519" s="88"/>
      <c r="E519" s="88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88"/>
      <c r="AL519" s="88"/>
      <c r="AM519" s="88"/>
      <c r="AN519" s="88"/>
      <c r="AO519" s="88"/>
      <c r="AP519" s="88"/>
      <c r="AQ519" s="88"/>
      <c r="AR519" s="88"/>
      <c r="AS519" s="88"/>
      <c r="AT519" s="88"/>
      <c r="AU519" s="88"/>
      <c r="AV519" s="88"/>
      <c r="AW519" s="88"/>
      <c r="AX519" s="88"/>
      <c r="AY519" s="88"/>
      <c r="AZ519" s="88"/>
      <c r="BA519" s="88"/>
      <c r="BB519" s="88"/>
      <c r="BC519" s="88"/>
      <c r="BD519" s="88"/>
    </row>
    <row r="520" spans="1:56" ht="12.55" x14ac:dyDescent="0.2">
      <c r="A520" s="88"/>
      <c r="B520" s="88"/>
      <c r="C520" s="88"/>
      <c r="D520" s="88"/>
      <c r="E520" s="88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88"/>
      <c r="AL520" s="88"/>
      <c r="AM520" s="88"/>
      <c r="AN520" s="88"/>
      <c r="AO520" s="88"/>
      <c r="AP520" s="88"/>
      <c r="AQ520" s="88"/>
      <c r="AR520" s="88"/>
      <c r="AS520" s="88"/>
      <c r="AT520" s="88"/>
      <c r="AU520" s="88"/>
      <c r="AV520" s="88"/>
      <c r="AW520" s="88"/>
      <c r="AX520" s="88"/>
      <c r="AY520" s="88"/>
      <c r="AZ520" s="88"/>
      <c r="BA520" s="88"/>
      <c r="BB520" s="88"/>
      <c r="BC520" s="88"/>
      <c r="BD520" s="88"/>
    </row>
    <row r="521" spans="1:56" ht="12.55" x14ac:dyDescent="0.2">
      <c r="A521" s="88"/>
      <c r="B521" s="88"/>
      <c r="C521" s="88"/>
      <c r="D521" s="88"/>
      <c r="E521" s="88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88"/>
      <c r="AL521" s="88"/>
      <c r="AM521" s="88"/>
      <c r="AN521" s="88"/>
      <c r="AO521" s="88"/>
      <c r="AP521" s="88"/>
      <c r="AQ521" s="88"/>
      <c r="AR521" s="88"/>
      <c r="AS521" s="88"/>
      <c r="AT521" s="88"/>
      <c r="AU521" s="88"/>
      <c r="AV521" s="88"/>
      <c r="AW521" s="88"/>
      <c r="AX521" s="88"/>
      <c r="AY521" s="88"/>
      <c r="AZ521" s="88"/>
      <c r="BA521" s="88"/>
      <c r="BB521" s="88"/>
      <c r="BC521" s="88"/>
      <c r="BD521" s="88"/>
    </row>
    <row r="522" spans="1:56" ht="12.55" x14ac:dyDescent="0.2">
      <c r="A522" s="88"/>
      <c r="B522" s="88"/>
      <c r="C522" s="88"/>
      <c r="D522" s="88"/>
      <c r="E522" s="88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88"/>
      <c r="AL522" s="88"/>
      <c r="AM522" s="88"/>
      <c r="AN522" s="88"/>
      <c r="AO522" s="88"/>
      <c r="AP522" s="88"/>
      <c r="AQ522" s="88"/>
      <c r="AR522" s="88"/>
      <c r="AS522" s="88"/>
      <c r="AT522" s="88"/>
      <c r="AU522" s="88"/>
      <c r="AV522" s="88"/>
      <c r="AW522" s="88"/>
      <c r="AX522" s="88"/>
      <c r="AY522" s="88"/>
      <c r="AZ522" s="88"/>
      <c r="BA522" s="88"/>
      <c r="BB522" s="88"/>
      <c r="BC522" s="88"/>
      <c r="BD522" s="88"/>
    </row>
    <row r="523" spans="1:56" ht="12.55" x14ac:dyDescent="0.2">
      <c r="A523" s="88"/>
      <c r="B523" s="88"/>
      <c r="C523" s="88"/>
      <c r="D523" s="88"/>
      <c r="E523" s="88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88"/>
      <c r="AL523" s="88"/>
      <c r="AM523" s="88"/>
      <c r="AN523" s="88"/>
      <c r="AO523" s="88"/>
      <c r="AP523" s="88"/>
      <c r="AQ523" s="88"/>
      <c r="AR523" s="88"/>
      <c r="AS523" s="88"/>
      <c r="AT523" s="88"/>
      <c r="AU523" s="88"/>
      <c r="AV523" s="88"/>
      <c r="AW523" s="88"/>
      <c r="AX523" s="88"/>
      <c r="AY523" s="88"/>
      <c r="AZ523" s="88"/>
      <c r="BA523" s="88"/>
      <c r="BB523" s="88"/>
      <c r="BC523" s="88"/>
      <c r="BD523" s="88"/>
    </row>
    <row r="524" spans="1:56" ht="12.55" x14ac:dyDescent="0.2">
      <c r="A524" s="88"/>
      <c r="B524" s="88"/>
      <c r="C524" s="88"/>
      <c r="D524" s="88"/>
      <c r="E524" s="88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88"/>
      <c r="AL524" s="88"/>
      <c r="AM524" s="88"/>
      <c r="AN524" s="88"/>
      <c r="AO524" s="88"/>
      <c r="AP524" s="88"/>
      <c r="AQ524" s="88"/>
      <c r="AR524" s="88"/>
      <c r="AS524" s="88"/>
      <c r="AT524" s="88"/>
      <c r="AU524" s="88"/>
      <c r="AV524" s="88"/>
      <c r="AW524" s="88"/>
      <c r="AX524" s="88"/>
      <c r="AY524" s="88"/>
      <c r="AZ524" s="88"/>
      <c r="BA524" s="88"/>
      <c r="BB524" s="88"/>
      <c r="BC524" s="88"/>
      <c r="BD524" s="88"/>
    </row>
    <row r="525" spans="1:56" ht="12.55" x14ac:dyDescent="0.2">
      <c r="A525" s="88"/>
      <c r="B525" s="88"/>
      <c r="C525" s="88"/>
      <c r="D525" s="88"/>
      <c r="E525" s="88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88"/>
      <c r="AL525" s="88"/>
      <c r="AM525" s="88"/>
      <c r="AN525" s="88"/>
      <c r="AO525" s="88"/>
      <c r="AP525" s="88"/>
      <c r="AQ525" s="88"/>
      <c r="AR525" s="88"/>
      <c r="AS525" s="88"/>
      <c r="AT525" s="88"/>
      <c r="AU525" s="88"/>
      <c r="AV525" s="88"/>
      <c r="AW525" s="88"/>
      <c r="AX525" s="88"/>
      <c r="AY525" s="88"/>
      <c r="AZ525" s="88"/>
      <c r="BA525" s="88"/>
      <c r="BB525" s="88"/>
      <c r="BC525" s="88"/>
      <c r="BD525" s="88"/>
    </row>
    <row r="526" spans="1:56" ht="12.55" x14ac:dyDescent="0.2">
      <c r="A526" s="88"/>
      <c r="B526" s="88"/>
      <c r="C526" s="88"/>
      <c r="D526" s="88"/>
      <c r="E526" s="88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88"/>
      <c r="AL526" s="88"/>
      <c r="AM526" s="88"/>
      <c r="AN526" s="88"/>
      <c r="AO526" s="88"/>
      <c r="AP526" s="88"/>
      <c r="AQ526" s="88"/>
      <c r="AR526" s="88"/>
      <c r="AS526" s="88"/>
      <c r="AT526" s="88"/>
      <c r="AU526" s="88"/>
      <c r="AV526" s="88"/>
      <c r="AW526" s="88"/>
      <c r="AX526" s="88"/>
      <c r="AY526" s="88"/>
      <c r="AZ526" s="88"/>
      <c r="BA526" s="88"/>
      <c r="BB526" s="88"/>
      <c r="BC526" s="88"/>
      <c r="BD526" s="88"/>
    </row>
    <row r="527" spans="1:56" ht="12.55" x14ac:dyDescent="0.2">
      <c r="A527" s="88"/>
      <c r="B527" s="88"/>
      <c r="C527" s="88"/>
      <c r="D527" s="88"/>
      <c r="E527" s="88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88"/>
      <c r="AL527" s="88"/>
      <c r="AM527" s="88"/>
      <c r="AN527" s="88"/>
      <c r="AO527" s="88"/>
      <c r="AP527" s="88"/>
      <c r="AQ527" s="88"/>
      <c r="AR527" s="88"/>
      <c r="AS527" s="88"/>
      <c r="AT527" s="88"/>
      <c r="AU527" s="88"/>
      <c r="AV527" s="88"/>
      <c r="AW527" s="88"/>
      <c r="AX527" s="88"/>
      <c r="AY527" s="88"/>
      <c r="AZ527" s="88"/>
      <c r="BA527" s="88"/>
      <c r="BB527" s="88"/>
      <c r="BC527" s="88"/>
      <c r="BD527" s="88"/>
    </row>
    <row r="528" spans="1:56" ht="12.55" x14ac:dyDescent="0.2">
      <c r="A528" s="88"/>
      <c r="B528" s="88"/>
      <c r="C528" s="88"/>
      <c r="D528" s="88"/>
      <c r="E528" s="88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88"/>
      <c r="AL528" s="88"/>
      <c r="AM528" s="88"/>
      <c r="AN528" s="88"/>
      <c r="AO528" s="88"/>
      <c r="AP528" s="88"/>
      <c r="AQ528" s="88"/>
      <c r="AR528" s="88"/>
      <c r="AS528" s="88"/>
      <c r="AT528" s="88"/>
      <c r="AU528" s="88"/>
      <c r="AV528" s="88"/>
      <c r="AW528" s="88"/>
      <c r="AX528" s="88"/>
      <c r="AY528" s="88"/>
      <c r="AZ528" s="88"/>
      <c r="BA528" s="88"/>
      <c r="BB528" s="88"/>
      <c r="BC528" s="88"/>
      <c r="BD528" s="88"/>
    </row>
    <row r="529" spans="1:56" ht="12.55" x14ac:dyDescent="0.2">
      <c r="A529" s="88"/>
      <c r="B529" s="88"/>
      <c r="C529" s="88"/>
      <c r="D529" s="88"/>
      <c r="E529" s="88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88"/>
      <c r="AL529" s="88"/>
      <c r="AM529" s="88"/>
      <c r="AN529" s="88"/>
      <c r="AO529" s="88"/>
      <c r="AP529" s="88"/>
      <c r="AQ529" s="88"/>
      <c r="AR529" s="88"/>
      <c r="AS529" s="88"/>
      <c r="AT529" s="88"/>
      <c r="AU529" s="88"/>
      <c r="AV529" s="88"/>
      <c r="AW529" s="88"/>
      <c r="AX529" s="88"/>
      <c r="AY529" s="88"/>
      <c r="AZ529" s="88"/>
      <c r="BA529" s="88"/>
      <c r="BB529" s="88"/>
      <c r="BC529" s="88"/>
      <c r="BD529" s="88"/>
    </row>
    <row r="530" spans="1:56" ht="12.55" x14ac:dyDescent="0.2">
      <c r="A530" s="88"/>
      <c r="B530" s="88"/>
      <c r="C530" s="88"/>
      <c r="D530" s="88"/>
      <c r="E530" s="88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88"/>
      <c r="AL530" s="88"/>
      <c r="AM530" s="88"/>
      <c r="AN530" s="88"/>
      <c r="AO530" s="88"/>
      <c r="AP530" s="88"/>
      <c r="AQ530" s="88"/>
      <c r="AR530" s="88"/>
      <c r="AS530" s="88"/>
      <c r="AT530" s="88"/>
      <c r="AU530" s="88"/>
      <c r="AV530" s="88"/>
      <c r="AW530" s="88"/>
      <c r="AX530" s="88"/>
      <c r="AY530" s="88"/>
      <c r="AZ530" s="88"/>
      <c r="BA530" s="88"/>
      <c r="BB530" s="88"/>
      <c r="BC530" s="88"/>
      <c r="BD530" s="88"/>
    </row>
    <row r="531" spans="1:56" ht="12.55" x14ac:dyDescent="0.2">
      <c r="A531" s="88"/>
      <c r="B531" s="88"/>
      <c r="C531" s="88"/>
      <c r="D531" s="88"/>
      <c r="E531" s="88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88"/>
      <c r="AL531" s="88"/>
      <c r="AM531" s="88"/>
      <c r="AN531" s="88"/>
      <c r="AO531" s="88"/>
      <c r="AP531" s="88"/>
      <c r="AQ531" s="88"/>
      <c r="AR531" s="88"/>
      <c r="AS531" s="88"/>
      <c r="AT531" s="88"/>
      <c r="AU531" s="88"/>
      <c r="AV531" s="88"/>
      <c r="AW531" s="88"/>
      <c r="AX531" s="88"/>
      <c r="AY531" s="88"/>
      <c r="AZ531" s="88"/>
      <c r="BA531" s="88"/>
      <c r="BB531" s="88"/>
      <c r="BC531" s="88"/>
      <c r="BD531" s="88"/>
    </row>
    <row r="532" spans="1:56" ht="12.55" x14ac:dyDescent="0.2">
      <c r="A532" s="88"/>
      <c r="B532" s="88"/>
      <c r="C532" s="88"/>
      <c r="D532" s="88"/>
      <c r="E532" s="88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88"/>
      <c r="AL532" s="88"/>
      <c r="AM532" s="88"/>
      <c r="AN532" s="88"/>
      <c r="AO532" s="88"/>
      <c r="AP532" s="88"/>
      <c r="AQ532" s="88"/>
      <c r="AR532" s="88"/>
      <c r="AS532" s="88"/>
      <c r="AT532" s="88"/>
      <c r="AU532" s="88"/>
      <c r="AV532" s="88"/>
      <c r="AW532" s="88"/>
      <c r="AX532" s="88"/>
      <c r="AY532" s="88"/>
      <c r="AZ532" s="88"/>
      <c r="BA532" s="88"/>
      <c r="BB532" s="88"/>
      <c r="BC532" s="88"/>
      <c r="BD532" s="88"/>
    </row>
    <row r="533" spans="1:56" ht="12.55" x14ac:dyDescent="0.2">
      <c r="A533" s="88"/>
      <c r="B533" s="88"/>
      <c r="C533" s="88"/>
      <c r="D533" s="88"/>
      <c r="E533" s="88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88"/>
      <c r="AL533" s="88"/>
      <c r="AM533" s="88"/>
      <c r="AN533" s="88"/>
      <c r="AO533" s="88"/>
      <c r="AP533" s="88"/>
      <c r="AQ533" s="88"/>
      <c r="AR533" s="88"/>
      <c r="AS533" s="88"/>
      <c r="AT533" s="88"/>
      <c r="AU533" s="88"/>
      <c r="AV533" s="88"/>
      <c r="AW533" s="88"/>
      <c r="AX533" s="88"/>
      <c r="AY533" s="88"/>
      <c r="AZ533" s="88"/>
      <c r="BA533" s="88"/>
      <c r="BB533" s="88"/>
      <c r="BC533" s="88"/>
      <c r="BD533" s="88"/>
    </row>
    <row r="534" spans="1:56" ht="12.55" x14ac:dyDescent="0.2">
      <c r="A534" s="88"/>
      <c r="B534" s="88"/>
      <c r="C534" s="88"/>
      <c r="D534" s="88"/>
      <c r="E534" s="88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88"/>
      <c r="AL534" s="88"/>
      <c r="AM534" s="88"/>
      <c r="AN534" s="88"/>
      <c r="AO534" s="88"/>
      <c r="AP534" s="88"/>
      <c r="AQ534" s="88"/>
      <c r="AR534" s="88"/>
      <c r="AS534" s="88"/>
      <c r="AT534" s="88"/>
      <c r="AU534" s="88"/>
      <c r="AV534" s="88"/>
      <c r="AW534" s="88"/>
      <c r="AX534" s="88"/>
      <c r="AY534" s="88"/>
      <c r="AZ534" s="88"/>
      <c r="BA534" s="88"/>
      <c r="BB534" s="88"/>
      <c r="BC534" s="88"/>
      <c r="BD534" s="88"/>
    </row>
    <row r="535" spans="1:56" ht="12.55" x14ac:dyDescent="0.2">
      <c r="A535" s="88"/>
      <c r="B535" s="88"/>
      <c r="C535" s="88"/>
      <c r="D535" s="88"/>
      <c r="E535" s="88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88"/>
      <c r="AL535" s="88"/>
      <c r="AM535" s="88"/>
      <c r="AN535" s="88"/>
      <c r="AO535" s="88"/>
      <c r="AP535" s="88"/>
      <c r="AQ535" s="88"/>
      <c r="AR535" s="88"/>
      <c r="AS535" s="88"/>
      <c r="AT535" s="88"/>
      <c r="AU535" s="88"/>
      <c r="AV535" s="88"/>
      <c r="AW535" s="88"/>
      <c r="AX535" s="88"/>
      <c r="AY535" s="88"/>
      <c r="AZ535" s="88"/>
      <c r="BA535" s="88"/>
      <c r="BB535" s="88"/>
      <c r="BC535" s="88"/>
      <c r="BD535" s="88"/>
    </row>
    <row r="536" spans="1:56" ht="12.55" x14ac:dyDescent="0.2">
      <c r="A536" s="88"/>
      <c r="B536" s="88"/>
      <c r="C536" s="88"/>
      <c r="D536" s="88"/>
      <c r="E536" s="88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/>
      <c r="BB536" s="88"/>
      <c r="BC536" s="88"/>
      <c r="BD536" s="88"/>
    </row>
    <row r="537" spans="1:56" ht="12.55" x14ac:dyDescent="0.2">
      <c r="A537" s="88"/>
      <c r="B537" s="88"/>
      <c r="C537" s="88"/>
      <c r="D537" s="88"/>
      <c r="E537" s="88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88"/>
      <c r="AL537" s="88"/>
      <c r="AM537" s="88"/>
      <c r="AN537" s="88"/>
      <c r="AO537" s="88"/>
      <c r="AP537" s="88"/>
      <c r="AQ537" s="88"/>
      <c r="AR537" s="88"/>
      <c r="AS537" s="88"/>
      <c r="AT537" s="88"/>
      <c r="AU537" s="88"/>
      <c r="AV537" s="88"/>
      <c r="AW537" s="88"/>
      <c r="AX537" s="88"/>
      <c r="AY537" s="88"/>
      <c r="AZ537" s="88"/>
      <c r="BA537" s="88"/>
      <c r="BB537" s="88"/>
      <c r="BC537" s="88"/>
      <c r="BD537" s="88"/>
    </row>
    <row r="538" spans="1:56" ht="12.55" x14ac:dyDescent="0.2">
      <c r="A538" s="88"/>
      <c r="B538" s="88"/>
      <c r="C538" s="88"/>
      <c r="D538" s="88"/>
      <c r="E538" s="88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88"/>
      <c r="AL538" s="88"/>
      <c r="AM538" s="88"/>
      <c r="AN538" s="88"/>
      <c r="AO538" s="88"/>
      <c r="AP538" s="88"/>
      <c r="AQ538" s="88"/>
      <c r="AR538" s="88"/>
      <c r="AS538" s="88"/>
      <c r="AT538" s="88"/>
      <c r="AU538" s="88"/>
      <c r="AV538" s="88"/>
      <c r="AW538" s="88"/>
      <c r="AX538" s="88"/>
      <c r="AY538" s="88"/>
      <c r="AZ538" s="88"/>
      <c r="BA538" s="88"/>
      <c r="BB538" s="88"/>
      <c r="BC538" s="88"/>
      <c r="BD538" s="88"/>
    </row>
    <row r="539" spans="1:56" ht="12.55" x14ac:dyDescent="0.2">
      <c r="A539" s="88"/>
      <c r="B539" s="88"/>
      <c r="C539" s="88"/>
      <c r="D539" s="88"/>
      <c r="E539" s="88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88"/>
      <c r="AL539" s="88"/>
      <c r="AM539" s="88"/>
      <c r="AN539" s="88"/>
      <c r="AO539" s="88"/>
      <c r="AP539" s="88"/>
      <c r="AQ539" s="88"/>
      <c r="AR539" s="88"/>
      <c r="AS539" s="88"/>
      <c r="AT539" s="88"/>
      <c r="AU539" s="88"/>
      <c r="AV539" s="88"/>
      <c r="AW539" s="88"/>
      <c r="AX539" s="88"/>
      <c r="AY539" s="88"/>
      <c r="AZ539" s="88"/>
      <c r="BA539" s="88"/>
      <c r="BB539" s="88"/>
      <c r="BC539" s="88"/>
      <c r="BD539" s="88"/>
    </row>
    <row r="540" spans="1:56" ht="12.55" x14ac:dyDescent="0.2">
      <c r="A540" s="88"/>
      <c r="B540" s="88"/>
      <c r="C540" s="88"/>
      <c r="D540" s="88"/>
      <c r="E540" s="88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/>
      <c r="BB540" s="88"/>
      <c r="BC540" s="88"/>
      <c r="BD540" s="88"/>
    </row>
    <row r="541" spans="1:56" ht="12.55" x14ac:dyDescent="0.2">
      <c r="A541" s="88"/>
      <c r="B541" s="88"/>
      <c r="C541" s="88"/>
      <c r="D541" s="88"/>
      <c r="E541" s="88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88"/>
      <c r="AL541" s="88"/>
      <c r="AM541" s="88"/>
      <c r="AN541" s="88"/>
      <c r="AO541" s="88"/>
      <c r="AP541" s="88"/>
      <c r="AQ541" s="88"/>
      <c r="AR541" s="88"/>
      <c r="AS541" s="88"/>
      <c r="AT541" s="88"/>
      <c r="AU541" s="88"/>
      <c r="AV541" s="88"/>
      <c r="AW541" s="88"/>
      <c r="AX541" s="88"/>
      <c r="AY541" s="88"/>
      <c r="AZ541" s="88"/>
      <c r="BA541" s="88"/>
      <c r="BB541" s="88"/>
      <c r="BC541" s="88"/>
      <c r="BD541" s="88"/>
    </row>
    <row r="542" spans="1:56" ht="12.55" x14ac:dyDescent="0.2">
      <c r="A542" s="88"/>
      <c r="B542" s="88"/>
      <c r="C542" s="88"/>
      <c r="D542" s="88"/>
      <c r="E542" s="88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88"/>
      <c r="AL542" s="88"/>
      <c r="AM542" s="88"/>
      <c r="AN542" s="88"/>
      <c r="AO542" s="88"/>
      <c r="AP542" s="88"/>
      <c r="AQ542" s="88"/>
      <c r="AR542" s="88"/>
      <c r="AS542" s="88"/>
      <c r="AT542" s="88"/>
      <c r="AU542" s="88"/>
      <c r="AV542" s="88"/>
      <c r="AW542" s="88"/>
      <c r="AX542" s="88"/>
      <c r="AY542" s="88"/>
      <c r="AZ542" s="88"/>
      <c r="BA542" s="88"/>
      <c r="BB542" s="88"/>
      <c r="BC542" s="88"/>
      <c r="BD542" s="88"/>
    </row>
    <row r="543" spans="1:56" ht="12.55" x14ac:dyDescent="0.2">
      <c r="A543" s="88"/>
      <c r="B543" s="88"/>
      <c r="C543" s="88"/>
      <c r="D543" s="88"/>
      <c r="E543" s="88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88"/>
      <c r="AL543" s="88"/>
      <c r="AM543" s="88"/>
      <c r="AN543" s="88"/>
      <c r="AO543" s="88"/>
      <c r="AP543" s="88"/>
      <c r="AQ543" s="88"/>
      <c r="AR543" s="88"/>
      <c r="AS543" s="88"/>
      <c r="AT543" s="88"/>
      <c r="AU543" s="88"/>
      <c r="AV543" s="88"/>
      <c r="AW543" s="88"/>
      <c r="AX543" s="88"/>
      <c r="AY543" s="88"/>
      <c r="AZ543" s="88"/>
      <c r="BA543" s="88"/>
      <c r="BB543" s="88"/>
      <c r="BC543" s="88"/>
      <c r="BD543" s="88"/>
    </row>
    <row r="544" spans="1:56" ht="12.55" x14ac:dyDescent="0.2">
      <c r="A544" s="88"/>
      <c r="B544" s="88"/>
      <c r="C544" s="88"/>
      <c r="D544" s="88"/>
      <c r="E544" s="88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88"/>
      <c r="AL544" s="88"/>
      <c r="AM544" s="88"/>
      <c r="AN544" s="88"/>
      <c r="AO544" s="88"/>
      <c r="AP544" s="88"/>
      <c r="AQ544" s="88"/>
      <c r="AR544" s="88"/>
      <c r="AS544" s="88"/>
      <c r="AT544" s="88"/>
      <c r="AU544" s="88"/>
      <c r="AV544" s="88"/>
      <c r="AW544" s="88"/>
      <c r="AX544" s="88"/>
      <c r="AY544" s="88"/>
      <c r="AZ544" s="88"/>
      <c r="BA544" s="88"/>
      <c r="BB544" s="88"/>
      <c r="BC544" s="88"/>
      <c r="BD544" s="88"/>
    </row>
    <row r="545" spans="1:56" ht="12.55" x14ac:dyDescent="0.2">
      <c r="A545" s="88"/>
      <c r="B545" s="88"/>
      <c r="C545" s="88"/>
      <c r="D545" s="88"/>
      <c r="E545" s="88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88"/>
      <c r="AL545" s="88"/>
      <c r="AM545" s="88"/>
      <c r="AN545" s="88"/>
      <c r="AO545" s="88"/>
      <c r="AP545" s="88"/>
      <c r="AQ545" s="88"/>
      <c r="AR545" s="88"/>
      <c r="AS545" s="88"/>
      <c r="AT545" s="88"/>
      <c r="AU545" s="88"/>
      <c r="AV545" s="88"/>
      <c r="AW545" s="88"/>
      <c r="AX545" s="88"/>
      <c r="AY545" s="88"/>
      <c r="AZ545" s="88"/>
      <c r="BA545" s="88"/>
      <c r="BB545" s="88"/>
      <c r="BC545" s="88"/>
      <c r="BD545" s="88"/>
    </row>
    <row r="546" spans="1:56" ht="12.55" x14ac:dyDescent="0.2">
      <c r="A546" s="88"/>
      <c r="B546" s="88"/>
      <c r="C546" s="88"/>
      <c r="D546" s="88"/>
      <c r="E546" s="88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88"/>
      <c r="AL546" s="88"/>
      <c r="AM546" s="88"/>
      <c r="AN546" s="88"/>
      <c r="AO546" s="88"/>
      <c r="AP546" s="88"/>
      <c r="AQ546" s="88"/>
      <c r="AR546" s="88"/>
      <c r="AS546" s="88"/>
      <c r="AT546" s="88"/>
      <c r="AU546" s="88"/>
      <c r="AV546" s="88"/>
      <c r="AW546" s="88"/>
      <c r="AX546" s="88"/>
      <c r="AY546" s="88"/>
      <c r="AZ546" s="88"/>
      <c r="BA546" s="88"/>
      <c r="BB546" s="88"/>
      <c r="BC546" s="88"/>
      <c r="BD546" s="88"/>
    </row>
    <row r="547" spans="1:56" ht="12.55" x14ac:dyDescent="0.2">
      <c r="A547" s="88"/>
      <c r="B547" s="88"/>
      <c r="C547" s="88"/>
      <c r="D547" s="88"/>
      <c r="E547" s="88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88"/>
      <c r="AL547" s="88"/>
      <c r="AM547" s="88"/>
      <c r="AN547" s="88"/>
      <c r="AO547" s="88"/>
      <c r="AP547" s="88"/>
      <c r="AQ547" s="88"/>
      <c r="AR547" s="88"/>
      <c r="AS547" s="88"/>
      <c r="AT547" s="88"/>
      <c r="AU547" s="88"/>
      <c r="AV547" s="88"/>
      <c r="AW547" s="88"/>
      <c r="AX547" s="88"/>
      <c r="AY547" s="88"/>
      <c r="AZ547" s="88"/>
      <c r="BA547" s="88"/>
      <c r="BB547" s="88"/>
      <c r="BC547" s="88"/>
      <c r="BD547" s="88"/>
    </row>
    <row r="548" spans="1:56" ht="12.55" x14ac:dyDescent="0.2">
      <c r="A548" s="88"/>
      <c r="B548" s="88"/>
      <c r="C548" s="88"/>
      <c r="D548" s="88"/>
      <c r="E548" s="88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88"/>
      <c r="AL548" s="88"/>
      <c r="AM548" s="88"/>
      <c r="AN548" s="88"/>
      <c r="AO548" s="88"/>
      <c r="AP548" s="88"/>
      <c r="AQ548" s="88"/>
      <c r="AR548" s="88"/>
      <c r="AS548" s="88"/>
      <c r="AT548" s="88"/>
      <c r="AU548" s="88"/>
      <c r="AV548" s="88"/>
      <c r="AW548" s="88"/>
      <c r="AX548" s="88"/>
      <c r="AY548" s="88"/>
      <c r="AZ548" s="88"/>
      <c r="BA548" s="88"/>
      <c r="BB548" s="88"/>
      <c r="BC548" s="88"/>
      <c r="BD548" s="88"/>
    </row>
    <row r="549" spans="1:56" ht="12.55" x14ac:dyDescent="0.2">
      <c r="A549" s="88"/>
      <c r="B549" s="88"/>
      <c r="C549" s="88"/>
      <c r="D549" s="88"/>
      <c r="E549" s="88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88"/>
      <c r="AL549" s="88"/>
      <c r="AM549" s="88"/>
      <c r="AN549" s="88"/>
      <c r="AO549" s="88"/>
      <c r="AP549" s="88"/>
      <c r="AQ549" s="88"/>
      <c r="AR549" s="88"/>
      <c r="AS549" s="88"/>
      <c r="AT549" s="88"/>
      <c r="AU549" s="88"/>
      <c r="AV549" s="88"/>
      <c r="AW549" s="88"/>
      <c r="AX549" s="88"/>
      <c r="AY549" s="88"/>
      <c r="AZ549" s="88"/>
      <c r="BA549" s="88"/>
      <c r="BB549" s="88"/>
      <c r="BC549" s="88"/>
      <c r="BD549" s="88"/>
    </row>
    <row r="550" spans="1:56" ht="12.55" x14ac:dyDescent="0.2">
      <c r="A550" s="88"/>
      <c r="B550" s="88"/>
      <c r="C550" s="88"/>
      <c r="D550" s="88"/>
      <c r="E550" s="88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88"/>
      <c r="AL550" s="88"/>
      <c r="AM550" s="88"/>
      <c r="AN550" s="88"/>
      <c r="AO550" s="88"/>
      <c r="AP550" s="88"/>
      <c r="AQ550" s="88"/>
      <c r="AR550" s="88"/>
      <c r="AS550" s="88"/>
      <c r="AT550" s="88"/>
      <c r="AU550" s="88"/>
      <c r="AV550" s="88"/>
      <c r="AW550" s="88"/>
      <c r="AX550" s="88"/>
      <c r="AY550" s="88"/>
      <c r="AZ550" s="88"/>
      <c r="BA550" s="88"/>
      <c r="BB550" s="88"/>
      <c r="BC550" s="88"/>
      <c r="BD550" s="88"/>
    </row>
    <row r="551" spans="1:56" ht="12.55" x14ac:dyDescent="0.2">
      <c r="A551" s="88"/>
      <c r="B551" s="88"/>
      <c r="C551" s="88"/>
      <c r="D551" s="88"/>
      <c r="E551" s="88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88"/>
      <c r="AL551" s="88"/>
      <c r="AM551" s="88"/>
      <c r="AN551" s="88"/>
      <c r="AO551" s="88"/>
      <c r="AP551" s="88"/>
      <c r="AQ551" s="88"/>
      <c r="AR551" s="88"/>
      <c r="AS551" s="88"/>
      <c r="AT551" s="88"/>
      <c r="AU551" s="88"/>
      <c r="AV551" s="88"/>
      <c r="AW551" s="88"/>
      <c r="AX551" s="88"/>
      <c r="AY551" s="88"/>
      <c r="AZ551" s="88"/>
      <c r="BA551" s="88"/>
      <c r="BB551" s="88"/>
      <c r="BC551" s="88"/>
      <c r="BD551" s="88"/>
    </row>
    <row r="552" spans="1:56" ht="12.55" x14ac:dyDescent="0.2">
      <c r="A552" s="88"/>
      <c r="B552" s="88"/>
      <c r="C552" s="88"/>
      <c r="D552" s="88"/>
      <c r="E552" s="88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88"/>
      <c r="AL552" s="88"/>
      <c r="AM552" s="88"/>
      <c r="AN552" s="88"/>
      <c r="AO552" s="88"/>
      <c r="AP552" s="88"/>
      <c r="AQ552" s="88"/>
      <c r="AR552" s="88"/>
      <c r="AS552" s="88"/>
      <c r="AT552" s="88"/>
      <c r="AU552" s="88"/>
      <c r="AV552" s="88"/>
      <c r="AW552" s="88"/>
      <c r="AX552" s="88"/>
      <c r="AY552" s="88"/>
      <c r="AZ552" s="88"/>
      <c r="BA552" s="88"/>
      <c r="BB552" s="88"/>
      <c r="BC552" s="88"/>
      <c r="BD552" s="88"/>
    </row>
    <row r="553" spans="1:56" ht="12.55" x14ac:dyDescent="0.2">
      <c r="A553" s="88"/>
      <c r="B553" s="88"/>
      <c r="C553" s="88"/>
      <c r="D553" s="88"/>
      <c r="E553" s="88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88"/>
      <c r="AL553" s="88"/>
      <c r="AM553" s="88"/>
      <c r="AN553" s="88"/>
      <c r="AO553" s="88"/>
      <c r="AP553" s="88"/>
      <c r="AQ553" s="88"/>
      <c r="AR553" s="88"/>
      <c r="AS553" s="88"/>
      <c r="AT553" s="88"/>
      <c r="AU553" s="88"/>
      <c r="AV553" s="88"/>
      <c r="AW553" s="88"/>
      <c r="AX553" s="88"/>
      <c r="AY553" s="88"/>
      <c r="AZ553" s="88"/>
      <c r="BA553" s="88"/>
      <c r="BB553" s="88"/>
      <c r="BC553" s="88"/>
      <c r="BD553" s="88"/>
    </row>
    <row r="554" spans="1:56" ht="12.55" x14ac:dyDescent="0.2">
      <c r="A554" s="88"/>
      <c r="B554" s="88"/>
      <c r="C554" s="88"/>
      <c r="D554" s="88"/>
      <c r="E554" s="88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88"/>
      <c r="AL554" s="88"/>
      <c r="AM554" s="88"/>
      <c r="AN554" s="88"/>
      <c r="AO554" s="88"/>
      <c r="AP554" s="88"/>
      <c r="AQ554" s="88"/>
      <c r="AR554" s="88"/>
      <c r="AS554" s="88"/>
      <c r="AT554" s="88"/>
      <c r="AU554" s="88"/>
      <c r="AV554" s="88"/>
      <c r="AW554" s="88"/>
      <c r="AX554" s="88"/>
      <c r="AY554" s="88"/>
      <c r="AZ554" s="88"/>
      <c r="BA554" s="88"/>
      <c r="BB554" s="88"/>
      <c r="BC554" s="88"/>
      <c r="BD554" s="88"/>
    </row>
    <row r="555" spans="1:56" ht="12.55" x14ac:dyDescent="0.2">
      <c r="A555" s="88"/>
      <c r="B555" s="88"/>
      <c r="C555" s="88"/>
      <c r="D555" s="88"/>
      <c r="E555" s="88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88"/>
      <c r="AL555" s="88"/>
      <c r="AM555" s="88"/>
      <c r="AN555" s="88"/>
      <c r="AO555" s="88"/>
      <c r="AP555" s="88"/>
      <c r="AQ555" s="88"/>
      <c r="AR555" s="88"/>
      <c r="AS555" s="88"/>
      <c r="AT555" s="88"/>
      <c r="AU555" s="88"/>
      <c r="AV555" s="88"/>
      <c r="AW555" s="88"/>
      <c r="AX555" s="88"/>
      <c r="AY555" s="88"/>
      <c r="AZ555" s="88"/>
      <c r="BA555" s="88"/>
      <c r="BB555" s="88"/>
      <c r="BC555" s="88"/>
      <c r="BD555" s="88"/>
    </row>
    <row r="556" spans="1:56" ht="12.55" x14ac:dyDescent="0.2">
      <c r="A556" s="88"/>
      <c r="B556" s="88"/>
      <c r="C556" s="88"/>
      <c r="D556" s="88"/>
      <c r="E556" s="88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88"/>
      <c r="AL556" s="88"/>
      <c r="AM556" s="88"/>
      <c r="AN556" s="88"/>
      <c r="AO556" s="88"/>
      <c r="AP556" s="88"/>
      <c r="AQ556" s="88"/>
      <c r="AR556" s="88"/>
      <c r="AS556" s="88"/>
      <c r="AT556" s="88"/>
      <c r="AU556" s="88"/>
      <c r="AV556" s="88"/>
      <c r="AW556" s="88"/>
      <c r="AX556" s="88"/>
      <c r="AY556" s="88"/>
      <c r="AZ556" s="88"/>
      <c r="BA556" s="88"/>
      <c r="BB556" s="88"/>
      <c r="BC556" s="88"/>
      <c r="BD556" s="88"/>
    </row>
    <row r="557" spans="1:56" ht="12.55" x14ac:dyDescent="0.2">
      <c r="A557" s="88"/>
      <c r="B557" s="88"/>
      <c r="C557" s="88"/>
      <c r="D557" s="88"/>
      <c r="E557" s="88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88"/>
      <c r="AL557" s="88"/>
      <c r="AM557" s="88"/>
      <c r="AN557" s="88"/>
      <c r="AO557" s="88"/>
      <c r="AP557" s="88"/>
      <c r="AQ557" s="88"/>
      <c r="AR557" s="88"/>
      <c r="AS557" s="88"/>
      <c r="AT557" s="88"/>
      <c r="AU557" s="88"/>
      <c r="AV557" s="88"/>
      <c r="AW557" s="88"/>
      <c r="AX557" s="88"/>
      <c r="AY557" s="88"/>
      <c r="AZ557" s="88"/>
      <c r="BA557" s="88"/>
      <c r="BB557" s="88"/>
      <c r="BC557" s="88"/>
      <c r="BD557" s="88"/>
    </row>
    <row r="558" spans="1:56" ht="12.55" x14ac:dyDescent="0.2">
      <c r="A558" s="88"/>
      <c r="B558" s="88"/>
      <c r="C558" s="88"/>
      <c r="D558" s="88"/>
      <c r="E558" s="88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88"/>
      <c r="AL558" s="88"/>
      <c r="AM558" s="88"/>
      <c r="AN558" s="88"/>
      <c r="AO558" s="88"/>
      <c r="AP558" s="88"/>
      <c r="AQ558" s="88"/>
      <c r="AR558" s="88"/>
      <c r="AS558" s="88"/>
      <c r="AT558" s="88"/>
      <c r="AU558" s="88"/>
      <c r="AV558" s="88"/>
      <c r="AW558" s="88"/>
      <c r="AX558" s="88"/>
      <c r="AY558" s="88"/>
      <c r="AZ558" s="88"/>
      <c r="BA558" s="88"/>
      <c r="BB558" s="88"/>
      <c r="BC558" s="88"/>
      <c r="BD558" s="88"/>
    </row>
    <row r="559" spans="1:56" ht="12.55" x14ac:dyDescent="0.2">
      <c r="A559" s="88"/>
      <c r="B559" s="88"/>
      <c r="C559" s="88"/>
      <c r="D559" s="88"/>
      <c r="E559" s="88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88"/>
      <c r="AL559" s="88"/>
      <c r="AM559" s="88"/>
      <c r="AN559" s="88"/>
      <c r="AO559" s="88"/>
      <c r="AP559" s="88"/>
      <c r="AQ559" s="88"/>
      <c r="AR559" s="88"/>
      <c r="AS559" s="88"/>
      <c r="AT559" s="88"/>
      <c r="AU559" s="88"/>
      <c r="AV559" s="88"/>
      <c r="AW559" s="88"/>
      <c r="AX559" s="88"/>
      <c r="AY559" s="88"/>
      <c r="AZ559" s="88"/>
      <c r="BA559" s="88"/>
      <c r="BB559" s="88"/>
      <c r="BC559" s="88"/>
      <c r="BD559" s="88"/>
    </row>
    <row r="560" spans="1:56" ht="12.55" x14ac:dyDescent="0.2">
      <c r="A560" s="88"/>
      <c r="B560" s="88"/>
      <c r="C560" s="88"/>
      <c r="D560" s="88"/>
      <c r="E560" s="88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88"/>
      <c r="AL560" s="88"/>
      <c r="AM560" s="88"/>
      <c r="AN560" s="88"/>
      <c r="AO560" s="88"/>
      <c r="AP560" s="88"/>
      <c r="AQ560" s="88"/>
      <c r="AR560" s="88"/>
      <c r="AS560" s="88"/>
      <c r="AT560" s="88"/>
      <c r="AU560" s="88"/>
      <c r="AV560" s="88"/>
      <c r="AW560" s="88"/>
      <c r="AX560" s="88"/>
      <c r="AY560" s="88"/>
      <c r="AZ560" s="88"/>
      <c r="BA560" s="88"/>
      <c r="BB560" s="88"/>
      <c r="BC560" s="88"/>
      <c r="BD560" s="88"/>
    </row>
    <row r="561" spans="1:56" ht="12.55" x14ac:dyDescent="0.2">
      <c r="A561" s="88"/>
      <c r="B561" s="88"/>
      <c r="C561" s="88"/>
      <c r="D561" s="88"/>
      <c r="E561" s="88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88"/>
      <c r="AL561" s="88"/>
      <c r="AM561" s="88"/>
      <c r="AN561" s="88"/>
      <c r="AO561" s="88"/>
      <c r="AP561" s="88"/>
      <c r="AQ561" s="88"/>
      <c r="AR561" s="88"/>
      <c r="AS561" s="88"/>
      <c r="AT561" s="88"/>
      <c r="AU561" s="88"/>
      <c r="AV561" s="88"/>
      <c r="AW561" s="88"/>
      <c r="AX561" s="88"/>
      <c r="AY561" s="88"/>
      <c r="AZ561" s="88"/>
      <c r="BA561" s="88"/>
      <c r="BB561" s="88"/>
      <c r="BC561" s="88"/>
      <c r="BD561" s="88"/>
    </row>
    <row r="562" spans="1:56" ht="12.55" x14ac:dyDescent="0.2">
      <c r="A562" s="88"/>
      <c r="B562" s="88"/>
      <c r="C562" s="88"/>
      <c r="D562" s="88"/>
      <c r="E562" s="88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88"/>
      <c r="AL562" s="88"/>
      <c r="AM562" s="88"/>
      <c r="AN562" s="88"/>
      <c r="AO562" s="88"/>
      <c r="AP562" s="88"/>
      <c r="AQ562" s="88"/>
      <c r="AR562" s="88"/>
      <c r="AS562" s="88"/>
      <c r="AT562" s="88"/>
      <c r="AU562" s="88"/>
      <c r="AV562" s="88"/>
      <c r="AW562" s="88"/>
      <c r="AX562" s="88"/>
      <c r="AY562" s="88"/>
      <c r="AZ562" s="88"/>
      <c r="BA562" s="88"/>
      <c r="BB562" s="88"/>
      <c r="BC562" s="88"/>
      <c r="BD562" s="88"/>
    </row>
    <row r="563" spans="1:56" ht="12.55" x14ac:dyDescent="0.2">
      <c r="A563" s="88"/>
      <c r="B563" s="88"/>
      <c r="C563" s="88"/>
      <c r="D563" s="88"/>
      <c r="E563" s="88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88"/>
      <c r="AL563" s="88"/>
      <c r="AM563" s="88"/>
      <c r="AN563" s="88"/>
      <c r="AO563" s="88"/>
      <c r="AP563" s="88"/>
      <c r="AQ563" s="88"/>
      <c r="AR563" s="88"/>
      <c r="AS563" s="88"/>
      <c r="AT563" s="88"/>
      <c r="AU563" s="88"/>
      <c r="AV563" s="88"/>
      <c r="AW563" s="88"/>
      <c r="AX563" s="88"/>
      <c r="AY563" s="88"/>
      <c r="AZ563" s="88"/>
      <c r="BA563" s="88"/>
      <c r="BB563" s="88"/>
      <c r="BC563" s="88"/>
      <c r="BD563" s="88"/>
    </row>
    <row r="564" spans="1:56" ht="12.55" x14ac:dyDescent="0.2">
      <c r="A564" s="88"/>
      <c r="B564" s="88"/>
      <c r="C564" s="88"/>
      <c r="D564" s="88"/>
      <c r="E564" s="88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88"/>
      <c r="AL564" s="88"/>
      <c r="AM564" s="88"/>
      <c r="AN564" s="88"/>
      <c r="AO564" s="88"/>
      <c r="AP564" s="88"/>
      <c r="AQ564" s="88"/>
      <c r="AR564" s="88"/>
      <c r="AS564" s="88"/>
      <c r="AT564" s="88"/>
      <c r="AU564" s="88"/>
      <c r="AV564" s="88"/>
      <c r="AW564" s="88"/>
      <c r="AX564" s="88"/>
      <c r="AY564" s="88"/>
      <c r="AZ564" s="88"/>
      <c r="BA564" s="88"/>
      <c r="BB564" s="88"/>
      <c r="BC564" s="88"/>
      <c r="BD564" s="88"/>
    </row>
    <row r="565" spans="1:56" ht="12.55" x14ac:dyDescent="0.2">
      <c r="A565" s="88"/>
      <c r="B565" s="88"/>
      <c r="C565" s="88"/>
      <c r="D565" s="88"/>
      <c r="E565" s="88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88"/>
      <c r="AL565" s="88"/>
      <c r="AM565" s="88"/>
      <c r="AN565" s="88"/>
      <c r="AO565" s="88"/>
      <c r="AP565" s="88"/>
      <c r="AQ565" s="88"/>
      <c r="AR565" s="88"/>
      <c r="AS565" s="88"/>
      <c r="AT565" s="88"/>
      <c r="AU565" s="88"/>
      <c r="AV565" s="88"/>
      <c r="AW565" s="88"/>
      <c r="AX565" s="88"/>
      <c r="AY565" s="88"/>
      <c r="AZ565" s="88"/>
      <c r="BA565" s="88"/>
      <c r="BB565" s="88"/>
      <c r="BC565" s="88"/>
      <c r="BD565" s="88"/>
    </row>
    <row r="566" spans="1:56" ht="12.55" x14ac:dyDescent="0.2">
      <c r="A566" s="88"/>
      <c r="B566" s="88"/>
      <c r="C566" s="88"/>
      <c r="D566" s="88"/>
      <c r="E566" s="88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88"/>
      <c r="AL566" s="88"/>
      <c r="AM566" s="88"/>
      <c r="AN566" s="88"/>
      <c r="AO566" s="88"/>
      <c r="AP566" s="88"/>
      <c r="AQ566" s="88"/>
      <c r="AR566" s="88"/>
      <c r="AS566" s="88"/>
      <c r="AT566" s="88"/>
      <c r="AU566" s="88"/>
      <c r="AV566" s="88"/>
      <c r="AW566" s="88"/>
      <c r="AX566" s="88"/>
      <c r="AY566" s="88"/>
      <c r="AZ566" s="88"/>
      <c r="BA566" s="88"/>
      <c r="BB566" s="88"/>
      <c r="BC566" s="88"/>
      <c r="BD566" s="88"/>
    </row>
    <row r="567" spans="1:56" ht="12.55" x14ac:dyDescent="0.2">
      <c r="A567" s="88"/>
      <c r="B567" s="88"/>
      <c r="C567" s="88"/>
      <c r="D567" s="88"/>
      <c r="E567" s="88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88"/>
      <c r="AL567" s="88"/>
      <c r="AM567" s="88"/>
      <c r="AN567" s="88"/>
      <c r="AO567" s="88"/>
      <c r="AP567" s="88"/>
      <c r="AQ567" s="88"/>
      <c r="AR567" s="88"/>
      <c r="AS567" s="88"/>
      <c r="AT567" s="88"/>
      <c r="AU567" s="88"/>
      <c r="AV567" s="88"/>
      <c r="AW567" s="88"/>
      <c r="AX567" s="88"/>
      <c r="AY567" s="88"/>
      <c r="AZ567" s="88"/>
      <c r="BA567" s="88"/>
      <c r="BB567" s="88"/>
      <c r="BC567" s="88"/>
      <c r="BD567" s="88"/>
    </row>
    <row r="568" spans="1:56" ht="12.55" x14ac:dyDescent="0.2">
      <c r="A568" s="88"/>
      <c r="B568" s="88"/>
      <c r="C568" s="88"/>
      <c r="D568" s="88"/>
      <c r="E568" s="88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88"/>
      <c r="AL568" s="88"/>
      <c r="AM568" s="88"/>
      <c r="AN568" s="88"/>
      <c r="AO568" s="88"/>
      <c r="AP568" s="88"/>
      <c r="AQ568" s="88"/>
      <c r="AR568" s="88"/>
      <c r="AS568" s="88"/>
      <c r="AT568" s="88"/>
      <c r="AU568" s="88"/>
      <c r="AV568" s="88"/>
      <c r="AW568" s="88"/>
      <c r="AX568" s="88"/>
      <c r="AY568" s="88"/>
      <c r="AZ568" s="88"/>
      <c r="BA568" s="88"/>
      <c r="BB568" s="88"/>
      <c r="BC568" s="88"/>
      <c r="BD568" s="88"/>
    </row>
    <row r="569" spans="1:56" ht="12.55" x14ac:dyDescent="0.2">
      <c r="A569" s="88"/>
      <c r="B569" s="88"/>
      <c r="C569" s="88"/>
      <c r="D569" s="88"/>
      <c r="E569" s="88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88"/>
      <c r="AL569" s="88"/>
      <c r="AM569" s="88"/>
      <c r="AN569" s="88"/>
      <c r="AO569" s="88"/>
      <c r="AP569" s="88"/>
      <c r="AQ569" s="88"/>
      <c r="AR569" s="88"/>
      <c r="AS569" s="88"/>
      <c r="AT569" s="88"/>
      <c r="AU569" s="88"/>
      <c r="AV569" s="88"/>
      <c r="AW569" s="88"/>
      <c r="AX569" s="88"/>
      <c r="AY569" s="88"/>
      <c r="AZ569" s="88"/>
      <c r="BA569" s="88"/>
      <c r="BB569" s="88"/>
      <c r="BC569" s="88"/>
      <c r="BD569" s="88"/>
    </row>
    <row r="570" spans="1:56" ht="12.55" x14ac:dyDescent="0.2">
      <c r="A570" s="88"/>
      <c r="B570" s="88"/>
      <c r="C570" s="88"/>
      <c r="D570" s="88"/>
      <c r="E570" s="88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88"/>
      <c r="AL570" s="88"/>
      <c r="AM570" s="88"/>
      <c r="AN570" s="88"/>
      <c r="AO570" s="88"/>
      <c r="AP570" s="88"/>
      <c r="AQ570" s="88"/>
      <c r="AR570" s="88"/>
      <c r="AS570" s="88"/>
      <c r="AT570" s="88"/>
      <c r="AU570" s="88"/>
      <c r="AV570" s="88"/>
      <c r="AW570" s="88"/>
      <c r="AX570" s="88"/>
      <c r="AY570" s="88"/>
      <c r="AZ570" s="88"/>
      <c r="BA570" s="88"/>
      <c r="BB570" s="88"/>
      <c r="BC570" s="88"/>
      <c r="BD570" s="88"/>
    </row>
    <row r="571" spans="1:56" ht="12.55" x14ac:dyDescent="0.2">
      <c r="A571" s="88"/>
      <c r="B571" s="88"/>
      <c r="C571" s="88"/>
      <c r="D571" s="88"/>
      <c r="E571" s="88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88"/>
      <c r="AL571" s="88"/>
      <c r="AM571" s="88"/>
      <c r="AN571" s="88"/>
      <c r="AO571" s="88"/>
      <c r="AP571" s="88"/>
      <c r="AQ571" s="88"/>
      <c r="AR571" s="88"/>
      <c r="AS571" s="88"/>
      <c r="AT571" s="88"/>
      <c r="AU571" s="88"/>
      <c r="AV571" s="88"/>
      <c r="AW571" s="88"/>
      <c r="AX571" s="88"/>
      <c r="AY571" s="88"/>
      <c r="AZ571" s="88"/>
      <c r="BA571" s="88"/>
      <c r="BB571" s="88"/>
      <c r="BC571" s="88"/>
      <c r="BD571" s="88"/>
    </row>
    <row r="572" spans="1:56" ht="12.55" x14ac:dyDescent="0.2">
      <c r="A572" s="88"/>
      <c r="B572" s="88"/>
      <c r="C572" s="88"/>
      <c r="D572" s="88"/>
      <c r="E572" s="88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88"/>
      <c r="AL572" s="88"/>
      <c r="AM572" s="88"/>
      <c r="AN572" s="88"/>
      <c r="AO572" s="88"/>
      <c r="AP572" s="88"/>
      <c r="AQ572" s="88"/>
      <c r="AR572" s="88"/>
      <c r="AS572" s="88"/>
      <c r="AT572" s="88"/>
      <c r="AU572" s="88"/>
      <c r="AV572" s="88"/>
      <c r="AW572" s="88"/>
      <c r="AX572" s="88"/>
      <c r="AY572" s="88"/>
      <c r="AZ572" s="88"/>
      <c r="BA572" s="88"/>
      <c r="BB572" s="88"/>
      <c r="BC572" s="88"/>
      <c r="BD572" s="88"/>
    </row>
    <row r="573" spans="1:56" ht="12.55" x14ac:dyDescent="0.2">
      <c r="A573" s="88"/>
      <c r="B573" s="88"/>
      <c r="C573" s="88"/>
      <c r="D573" s="88"/>
      <c r="E573" s="88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88"/>
      <c r="AL573" s="88"/>
      <c r="AM573" s="88"/>
      <c r="AN573" s="88"/>
      <c r="AO573" s="88"/>
      <c r="AP573" s="88"/>
      <c r="AQ573" s="88"/>
      <c r="AR573" s="88"/>
      <c r="AS573" s="88"/>
      <c r="AT573" s="88"/>
      <c r="AU573" s="88"/>
      <c r="AV573" s="88"/>
      <c r="AW573" s="88"/>
      <c r="AX573" s="88"/>
      <c r="AY573" s="88"/>
      <c r="AZ573" s="88"/>
      <c r="BA573" s="88"/>
      <c r="BB573" s="88"/>
      <c r="BC573" s="88"/>
      <c r="BD573" s="88"/>
    </row>
    <row r="574" spans="1:56" ht="12.55" x14ac:dyDescent="0.2">
      <c r="A574" s="88"/>
      <c r="B574" s="88"/>
      <c r="C574" s="88"/>
      <c r="D574" s="88"/>
      <c r="E574" s="88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88"/>
      <c r="AL574" s="88"/>
      <c r="AM574" s="88"/>
      <c r="AN574" s="88"/>
      <c r="AO574" s="88"/>
      <c r="AP574" s="88"/>
      <c r="AQ574" s="88"/>
      <c r="AR574" s="88"/>
      <c r="AS574" s="88"/>
      <c r="AT574" s="88"/>
      <c r="AU574" s="88"/>
      <c r="AV574" s="88"/>
      <c r="AW574" s="88"/>
      <c r="AX574" s="88"/>
      <c r="AY574" s="88"/>
      <c r="AZ574" s="88"/>
      <c r="BA574" s="88"/>
      <c r="BB574" s="88"/>
      <c r="BC574" s="88"/>
      <c r="BD574" s="88"/>
    </row>
    <row r="575" spans="1:56" ht="12.55" x14ac:dyDescent="0.2">
      <c r="A575" s="88"/>
      <c r="B575" s="88"/>
      <c r="C575" s="88"/>
      <c r="D575" s="88"/>
      <c r="E575" s="88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88"/>
      <c r="AL575" s="88"/>
      <c r="AM575" s="88"/>
      <c r="AN575" s="88"/>
      <c r="AO575" s="88"/>
      <c r="AP575" s="88"/>
      <c r="AQ575" s="88"/>
      <c r="AR575" s="88"/>
      <c r="AS575" s="88"/>
      <c r="AT575" s="88"/>
      <c r="AU575" s="88"/>
      <c r="AV575" s="88"/>
      <c r="AW575" s="88"/>
      <c r="AX575" s="88"/>
      <c r="AY575" s="88"/>
      <c r="AZ575" s="88"/>
      <c r="BA575" s="88"/>
      <c r="BB575" s="88"/>
      <c r="BC575" s="88"/>
      <c r="BD575" s="88"/>
    </row>
    <row r="576" spans="1:56" ht="12.55" x14ac:dyDescent="0.2">
      <c r="A576" s="88"/>
      <c r="B576" s="88"/>
      <c r="C576" s="88"/>
      <c r="D576" s="88"/>
      <c r="E576" s="88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88"/>
      <c r="AL576" s="88"/>
      <c r="AM576" s="88"/>
      <c r="AN576" s="88"/>
      <c r="AO576" s="88"/>
      <c r="AP576" s="88"/>
      <c r="AQ576" s="88"/>
      <c r="AR576" s="88"/>
      <c r="AS576" s="88"/>
      <c r="AT576" s="88"/>
      <c r="AU576" s="88"/>
      <c r="AV576" s="88"/>
      <c r="AW576" s="88"/>
      <c r="AX576" s="88"/>
      <c r="AY576" s="88"/>
      <c r="AZ576" s="88"/>
      <c r="BA576" s="88"/>
      <c r="BB576" s="88"/>
      <c r="BC576" s="88"/>
      <c r="BD576" s="88"/>
    </row>
    <row r="577" spans="1:56" ht="12.55" x14ac:dyDescent="0.2">
      <c r="A577" s="88"/>
      <c r="B577" s="88"/>
      <c r="C577" s="88"/>
      <c r="D577" s="88"/>
      <c r="E577" s="88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88"/>
      <c r="AL577" s="88"/>
      <c r="AM577" s="88"/>
      <c r="AN577" s="88"/>
      <c r="AO577" s="88"/>
      <c r="AP577" s="88"/>
      <c r="AQ577" s="88"/>
      <c r="AR577" s="88"/>
      <c r="AS577" s="88"/>
      <c r="AT577" s="88"/>
      <c r="AU577" s="88"/>
      <c r="AV577" s="88"/>
      <c r="AW577" s="88"/>
      <c r="AX577" s="88"/>
      <c r="AY577" s="88"/>
      <c r="AZ577" s="88"/>
      <c r="BA577" s="88"/>
      <c r="BB577" s="88"/>
      <c r="BC577" s="88"/>
      <c r="BD577" s="88"/>
    </row>
    <row r="578" spans="1:56" ht="12.55" x14ac:dyDescent="0.2">
      <c r="A578" s="88"/>
      <c r="B578" s="88"/>
      <c r="C578" s="88"/>
      <c r="D578" s="88"/>
      <c r="E578" s="88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88"/>
      <c r="AL578" s="88"/>
      <c r="AM578" s="88"/>
      <c r="AN578" s="88"/>
      <c r="AO578" s="88"/>
      <c r="AP578" s="88"/>
      <c r="AQ578" s="88"/>
      <c r="AR578" s="88"/>
      <c r="AS578" s="88"/>
      <c r="AT578" s="88"/>
      <c r="AU578" s="88"/>
      <c r="AV578" s="88"/>
      <c r="AW578" s="88"/>
      <c r="AX578" s="88"/>
      <c r="AY578" s="88"/>
      <c r="AZ578" s="88"/>
      <c r="BA578" s="88"/>
      <c r="BB578" s="88"/>
      <c r="BC578" s="88"/>
      <c r="BD578" s="88"/>
    </row>
    <row r="579" spans="1:56" ht="12.55" x14ac:dyDescent="0.2">
      <c r="A579" s="88"/>
      <c r="B579" s="88"/>
      <c r="C579" s="88"/>
      <c r="D579" s="88"/>
      <c r="E579" s="88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88"/>
      <c r="AL579" s="88"/>
      <c r="AM579" s="88"/>
      <c r="AN579" s="88"/>
      <c r="AO579" s="88"/>
      <c r="AP579" s="88"/>
      <c r="AQ579" s="88"/>
      <c r="AR579" s="88"/>
      <c r="AS579" s="88"/>
      <c r="AT579" s="88"/>
      <c r="AU579" s="88"/>
      <c r="AV579" s="88"/>
      <c r="AW579" s="88"/>
      <c r="AX579" s="88"/>
      <c r="AY579" s="88"/>
      <c r="AZ579" s="88"/>
      <c r="BA579" s="88"/>
      <c r="BB579" s="88"/>
      <c r="BC579" s="88"/>
      <c r="BD579" s="88"/>
    </row>
    <row r="580" spans="1:56" ht="12.55" x14ac:dyDescent="0.2">
      <c r="A580" s="88"/>
      <c r="B580" s="88"/>
      <c r="C580" s="88"/>
      <c r="D580" s="88"/>
      <c r="E580" s="88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88"/>
      <c r="AL580" s="88"/>
      <c r="AM580" s="88"/>
      <c r="AN580" s="88"/>
      <c r="AO580" s="88"/>
      <c r="AP580" s="88"/>
      <c r="AQ580" s="88"/>
      <c r="AR580" s="88"/>
      <c r="AS580" s="88"/>
      <c r="AT580" s="88"/>
      <c r="AU580" s="88"/>
      <c r="AV580" s="88"/>
      <c r="AW580" s="88"/>
      <c r="AX580" s="88"/>
      <c r="AY580" s="88"/>
      <c r="AZ580" s="88"/>
      <c r="BA580" s="88"/>
      <c r="BB580" s="88"/>
      <c r="BC580" s="88"/>
      <c r="BD580" s="88"/>
    </row>
    <row r="581" spans="1:56" ht="12.55" x14ac:dyDescent="0.2">
      <c r="A581" s="88"/>
      <c r="B581" s="88"/>
      <c r="C581" s="88"/>
      <c r="D581" s="88"/>
      <c r="E581" s="88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88"/>
      <c r="AL581" s="88"/>
      <c r="AM581" s="88"/>
      <c r="AN581" s="88"/>
      <c r="AO581" s="88"/>
      <c r="AP581" s="88"/>
      <c r="AQ581" s="88"/>
      <c r="AR581" s="88"/>
      <c r="AS581" s="88"/>
      <c r="AT581" s="88"/>
      <c r="AU581" s="88"/>
      <c r="AV581" s="88"/>
      <c r="AW581" s="88"/>
      <c r="AX581" s="88"/>
      <c r="AY581" s="88"/>
      <c r="AZ581" s="88"/>
      <c r="BA581" s="88"/>
      <c r="BB581" s="88"/>
      <c r="BC581" s="88"/>
      <c r="BD581" s="88"/>
    </row>
    <row r="582" spans="1:56" ht="12.55" x14ac:dyDescent="0.2">
      <c r="A582" s="88"/>
      <c r="B582" s="88"/>
      <c r="C582" s="88"/>
      <c r="D582" s="88"/>
      <c r="E582" s="88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88"/>
      <c r="AL582" s="88"/>
      <c r="AM582" s="88"/>
      <c r="AN582" s="88"/>
      <c r="AO582" s="88"/>
      <c r="AP582" s="88"/>
      <c r="AQ582" s="88"/>
      <c r="AR582" s="88"/>
      <c r="AS582" s="88"/>
      <c r="AT582" s="88"/>
      <c r="AU582" s="88"/>
      <c r="AV582" s="88"/>
      <c r="AW582" s="88"/>
      <c r="AX582" s="88"/>
      <c r="AY582" s="88"/>
      <c r="AZ582" s="88"/>
      <c r="BA582" s="88"/>
      <c r="BB582" s="88"/>
      <c r="BC582" s="88"/>
      <c r="BD582" s="88"/>
    </row>
    <row r="583" spans="1:56" ht="12.55" x14ac:dyDescent="0.2">
      <c r="A583" s="88"/>
      <c r="B583" s="88"/>
      <c r="C583" s="88"/>
      <c r="D583" s="88"/>
      <c r="E583" s="88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88"/>
      <c r="AL583" s="88"/>
      <c r="AM583" s="88"/>
      <c r="AN583" s="88"/>
      <c r="AO583" s="88"/>
      <c r="AP583" s="88"/>
      <c r="AQ583" s="88"/>
      <c r="AR583" s="88"/>
      <c r="AS583" s="88"/>
      <c r="AT583" s="88"/>
      <c r="AU583" s="88"/>
      <c r="AV583" s="88"/>
      <c r="AW583" s="88"/>
      <c r="AX583" s="88"/>
      <c r="AY583" s="88"/>
      <c r="AZ583" s="88"/>
      <c r="BA583" s="88"/>
      <c r="BB583" s="88"/>
      <c r="BC583" s="88"/>
      <c r="BD583" s="88"/>
    </row>
    <row r="584" spans="1:56" ht="12.55" x14ac:dyDescent="0.2">
      <c r="A584" s="88"/>
      <c r="B584" s="88"/>
      <c r="C584" s="88"/>
      <c r="D584" s="88"/>
      <c r="E584" s="88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88"/>
      <c r="AL584" s="88"/>
      <c r="AM584" s="88"/>
      <c r="AN584" s="88"/>
      <c r="AO584" s="88"/>
      <c r="AP584" s="88"/>
      <c r="AQ584" s="88"/>
      <c r="AR584" s="88"/>
      <c r="AS584" s="88"/>
      <c r="AT584" s="88"/>
      <c r="AU584" s="88"/>
      <c r="AV584" s="88"/>
      <c r="AW584" s="88"/>
      <c r="AX584" s="88"/>
      <c r="AY584" s="88"/>
      <c r="AZ584" s="88"/>
      <c r="BA584" s="88"/>
      <c r="BB584" s="88"/>
      <c r="BC584" s="88"/>
      <c r="BD584" s="88"/>
    </row>
    <row r="585" spans="1:56" ht="12.55" x14ac:dyDescent="0.2">
      <c r="A585" s="88"/>
      <c r="B585" s="88"/>
      <c r="C585" s="88"/>
      <c r="D585" s="88"/>
      <c r="E585" s="88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88"/>
      <c r="AL585" s="88"/>
      <c r="AM585" s="88"/>
      <c r="AN585" s="88"/>
      <c r="AO585" s="88"/>
      <c r="AP585" s="88"/>
      <c r="AQ585" s="88"/>
      <c r="AR585" s="88"/>
      <c r="AS585" s="88"/>
      <c r="AT585" s="88"/>
      <c r="AU585" s="88"/>
      <c r="AV585" s="88"/>
      <c r="AW585" s="88"/>
      <c r="AX585" s="88"/>
      <c r="AY585" s="88"/>
      <c r="AZ585" s="88"/>
      <c r="BA585" s="88"/>
      <c r="BB585" s="88"/>
      <c r="BC585" s="88"/>
      <c r="BD585" s="88"/>
    </row>
    <row r="586" spans="1:56" ht="12.55" x14ac:dyDescent="0.2">
      <c r="A586" s="88"/>
      <c r="B586" s="88"/>
      <c r="C586" s="88"/>
      <c r="D586" s="88"/>
      <c r="E586" s="88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88"/>
      <c r="AL586" s="88"/>
      <c r="AM586" s="88"/>
      <c r="AN586" s="88"/>
      <c r="AO586" s="88"/>
      <c r="AP586" s="88"/>
      <c r="AQ586" s="88"/>
      <c r="AR586" s="88"/>
      <c r="AS586" s="88"/>
      <c r="AT586" s="88"/>
      <c r="AU586" s="88"/>
      <c r="AV586" s="88"/>
      <c r="AW586" s="88"/>
      <c r="AX586" s="88"/>
      <c r="AY586" s="88"/>
      <c r="AZ586" s="88"/>
      <c r="BA586" s="88"/>
      <c r="BB586" s="88"/>
      <c r="BC586" s="88"/>
      <c r="BD586" s="88"/>
    </row>
    <row r="587" spans="1:56" ht="12.55" x14ac:dyDescent="0.2">
      <c r="A587" s="88"/>
      <c r="B587" s="88"/>
      <c r="C587" s="88"/>
      <c r="D587" s="88"/>
      <c r="E587" s="88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88"/>
      <c r="AL587" s="88"/>
      <c r="AM587" s="88"/>
      <c r="AN587" s="88"/>
      <c r="AO587" s="88"/>
      <c r="AP587" s="88"/>
      <c r="AQ587" s="88"/>
      <c r="AR587" s="88"/>
      <c r="AS587" s="88"/>
      <c r="AT587" s="88"/>
      <c r="AU587" s="88"/>
      <c r="AV587" s="88"/>
      <c r="AW587" s="88"/>
      <c r="AX587" s="88"/>
      <c r="AY587" s="88"/>
      <c r="AZ587" s="88"/>
      <c r="BA587" s="88"/>
      <c r="BB587" s="88"/>
      <c r="BC587" s="88"/>
      <c r="BD587" s="88"/>
    </row>
    <row r="588" spans="1:56" ht="12.55" x14ac:dyDescent="0.2">
      <c r="A588" s="88"/>
      <c r="B588" s="88"/>
      <c r="C588" s="88"/>
      <c r="D588" s="88"/>
      <c r="E588" s="88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88"/>
      <c r="AL588" s="88"/>
      <c r="AM588" s="88"/>
      <c r="AN588" s="88"/>
      <c r="AO588" s="88"/>
      <c r="AP588" s="88"/>
      <c r="AQ588" s="88"/>
      <c r="AR588" s="88"/>
      <c r="AS588" s="88"/>
      <c r="AT588" s="88"/>
      <c r="AU588" s="88"/>
      <c r="AV588" s="88"/>
      <c r="AW588" s="88"/>
      <c r="AX588" s="88"/>
      <c r="AY588" s="88"/>
      <c r="AZ588" s="88"/>
      <c r="BA588" s="88"/>
      <c r="BB588" s="88"/>
      <c r="BC588" s="88"/>
      <c r="BD588" s="88"/>
    </row>
    <row r="589" spans="1:56" ht="12.55" x14ac:dyDescent="0.2">
      <c r="A589" s="88"/>
      <c r="B589" s="88"/>
      <c r="C589" s="88"/>
      <c r="D589" s="88"/>
      <c r="E589" s="88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88"/>
      <c r="AL589" s="88"/>
      <c r="AM589" s="88"/>
      <c r="AN589" s="88"/>
      <c r="AO589" s="88"/>
      <c r="AP589" s="88"/>
      <c r="AQ589" s="88"/>
      <c r="AR589" s="88"/>
      <c r="AS589" s="88"/>
      <c r="AT589" s="88"/>
      <c r="AU589" s="88"/>
      <c r="AV589" s="88"/>
      <c r="AW589" s="88"/>
      <c r="AX589" s="88"/>
      <c r="AY589" s="88"/>
      <c r="AZ589" s="88"/>
      <c r="BA589" s="88"/>
      <c r="BB589" s="88"/>
      <c r="BC589" s="88"/>
      <c r="BD589" s="88"/>
    </row>
    <row r="590" spans="1:56" ht="12.55" x14ac:dyDescent="0.2">
      <c r="A590" s="88"/>
      <c r="B590" s="88"/>
      <c r="C590" s="88"/>
      <c r="D590" s="88"/>
      <c r="E590" s="88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88"/>
      <c r="AL590" s="88"/>
      <c r="AM590" s="88"/>
      <c r="AN590" s="88"/>
      <c r="AO590" s="88"/>
      <c r="AP590" s="88"/>
      <c r="AQ590" s="88"/>
      <c r="AR590" s="88"/>
      <c r="AS590" s="88"/>
      <c r="AT590" s="88"/>
      <c r="AU590" s="88"/>
      <c r="AV590" s="88"/>
      <c r="AW590" s="88"/>
      <c r="AX590" s="88"/>
      <c r="AY590" s="88"/>
      <c r="AZ590" s="88"/>
      <c r="BA590" s="88"/>
      <c r="BB590" s="88"/>
      <c r="BC590" s="88"/>
      <c r="BD590" s="88"/>
    </row>
    <row r="591" spans="1:56" ht="12.55" x14ac:dyDescent="0.2">
      <c r="A591" s="88"/>
      <c r="B591" s="88"/>
      <c r="C591" s="88"/>
      <c r="D591" s="88"/>
      <c r="E591" s="88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88"/>
      <c r="AL591" s="88"/>
      <c r="AM591" s="88"/>
      <c r="AN591" s="88"/>
      <c r="AO591" s="88"/>
      <c r="AP591" s="88"/>
      <c r="AQ591" s="88"/>
      <c r="AR591" s="88"/>
      <c r="AS591" s="88"/>
      <c r="AT591" s="88"/>
      <c r="AU591" s="88"/>
      <c r="AV591" s="88"/>
      <c r="AW591" s="88"/>
      <c r="AX591" s="88"/>
      <c r="AY591" s="88"/>
      <c r="AZ591" s="88"/>
      <c r="BA591" s="88"/>
      <c r="BB591" s="88"/>
      <c r="BC591" s="88"/>
      <c r="BD591" s="88"/>
    </row>
    <row r="592" spans="1:56" ht="12.55" x14ac:dyDescent="0.2">
      <c r="A592" s="88"/>
      <c r="B592" s="88"/>
      <c r="C592" s="88"/>
      <c r="D592" s="88"/>
      <c r="E592" s="88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88"/>
      <c r="AL592" s="88"/>
      <c r="AM592" s="88"/>
      <c r="AN592" s="88"/>
      <c r="AO592" s="88"/>
      <c r="AP592" s="88"/>
      <c r="AQ592" s="88"/>
      <c r="AR592" s="88"/>
      <c r="AS592" s="88"/>
      <c r="AT592" s="88"/>
      <c r="AU592" s="88"/>
      <c r="AV592" s="88"/>
      <c r="AW592" s="88"/>
      <c r="AX592" s="88"/>
      <c r="AY592" s="88"/>
      <c r="AZ592" s="88"/>
      <c r="BA592" s="88"/>
      <c r="BB592" s="88"/>
      <c r="BC592" s="88"/>
      <c r="BD592" s="88"/>
    </row>
    <row r="593" spans="1:56" ht="12.55" x14ac:dyDescent="0.2">
      <c r="A593" s="88"/>
      <c r="B593" s="88"/>
      <c r="C593" s="88"/>
      <c r="D593" s="88"/>
      <c r="E593" s="88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88"/>
      <c r="AL593" s="88"/>
      <c r="AM593" s="88"/>
      <c r="AN593" s="88"/>
      <c r="AO593" s="88"/>
      <c r="AP593" s="88"/>
      <c r="AQ593" s="88"/>
      <c r="AR593" s="88"/>
      <c r="AS593" s="88"/>
      <c r="AT593" s="88"/>
      <c r="AU593" s="88"/>
      <c r="AV593" s="88"/>
      <c r="AW593" s="88"/>
      <c r="AX593" s="88"/>
      <c r="AY593" s="88"/>
      <c r="AZ593" s="88"/>
      <c r="BA593" s="88"/>
      <c r="BB593" s="88"/>
      <c r="BC593" s="88"/>
      <c r="BD593" s="88"/>
    </row>
    <row r="594" spans="1:56" ht="12.55" x14ac:dyDescent="0.2">
      <c r="A594" s="88"/>
      <c r="B594" s="88"/>
      <c r="C594" s="88"/>
      <c r="D594" s="88"/>
      <c r="E594" s="88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88"/>
      <c r="AL594" s="88"/>
      <c r="AM594" s="88"/>
      <c r="AN594" s="88"/>
      <c r="AO594" s="88"/>
      <c r="AP594" s="88"/>
      <c r="AQ594" s="88"/>
      <c r="AR594" s="88"/>
      <c r="AS594" s="88"/>
      <c r="AT594" s="88"/>
      <c r="AU594" s="88"/>
      <c r="AV594" s="88"/>
      <c r="AW594" s="88"/>
      <c r="AX594" s="88"/>
      <c r="AY594" s="88"/>
      <c r="AZ594" s="88"/>
      <c r="BA594" s="88"/>
      <c r="BB594" s="88"/>
      <c r="BC594" s="88"/>
      <c r="BD594" s="88"/>
    </row>
    <row r="595" spans="1:56" ht="12.55" x14ac:dyDescent="0.2">
      <c r="A595" s="88"/>
      <c r="B595" s="88"/>
      <c r="C595" s="88"/>
      <c r="D595" s="88"/>
      <c r="E595" s="88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88"/>
      <c r="AL595" s="88"/>
      <c r="AM595" s="88"/>
      <c r="AN595" s="88"/>
      <c r="AO595" s="88"/>
      <c r="AP595" s="88"/>
      <c r="AQ595" s="88"/>
      <c r="AR595" s="88"/>
      <c r="AS595" s="88"/>
      <c r="AT595" s="88"/>
      <c r="AU595" s="88"/>
      <c r="AV595" s="88"/>
      <c r="AW595" s="88"/>
      <c r="AX595" s="88"/>
      <c r="AY595" s="88"/>
      <c r="AZ595" s="88"/>
      <c r="BA595" s="88"/>
      <c r="BB595" s="88"/>
      <c r="BC595" s="88"/>
      <c r="BD595" s="88"/>
    </row>
    <row r="596" spans="1:56" ht="12.55" x14ac:dyDescent="0.2">
      <c r="A596" s="88"/>
      <c r="B596" s="88"/>
      <c r="C596" s="88"/>
      <c r="D596" s="88"/>
      <c r="E596" s="88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88"/>
      <c r="AL596" s="88"/>
      <c r="AM596" s="88"/>
      <c r="AN596" s="88"/>
      <c r="AO596" s="88"/>
      <c r="AP596" s="88"/>
      <c r="AQ596" s="88"/>
      <c r="AR596" s="88"/>
      <c r="AS596" s="88"/>
      <c r="AT596" s="88"/>
      <c r="AU596" s="88"/>
      <c r="AV596" s="88"/>
      <c r="AW596" s="88"/>
      <c r="AX596" s="88"/>
      <c r="AY596" s="88"/>
      <c r="AZ596" s="88"/>
      <c r="BA596" s="88"/>
      <c r="BB596" s="88"/>
      <c r="BC596" s="88"/>
      <c r="BD596" s="88"/>
    </row>
    <row r="597" spans="1:56" ht="12.55" x14ac:dyDescent="0.2">
      <c r="A597" s="88"/>
      <c r="B597" s="88"/>
      <c r="C597" s="88"/>
      <c r="D597" s="88"/>
      <c r="E597" s="88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88"/>
      <c r="AL597" s="88"/>
      <c r="AM597" s="88"/>
      <c r="AN597" s="88"/>
      <c r="AO597" s="88"/>
      <c r="AP597" s="88"/>
      <c r="AQ597" s="88"/>
      <c r="AR597" s="88"/>
      <c r="AS597" s="88"/>
      <c r="AT597" s="88"/>
      <c r="AU597" s="88"/>
      <c r="AV597" s="88"/>
      <c r="AW597" s="88"/>
      <c r="AX597" s="88"/>
      <c r="AY597" s="88"/>
      <c r="AZ597" s="88"/>
      <c r="BA597" s="88"/>
      <c r="BB597" s="88"/>
      <c r="BC597" s="88"/>
      <c r="BD597" s="88"/>
    </row>
    <row r="598" spans="1:56" ht="12.55" x14ac:dyDescent="0.2">
      <c r="A598" s="88"/>
      <c r="B598" s="88"/>
      <c r="C598" s="88"/>
      <c r="D598" s="88"/>
      <c r="E598" s="88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88"/>
      <c r="AL598" s="88"/>
      <c r="AM598" s="88"/>
      <c r="AN598" s="88"/>
      <c r="AO598" s="88"/>
      <c r="AP598" s="88"/>
      <c r="AQ598" s="88"/>
      <c r="AR598" s="88"/>
      <c r="AS598" s="88"/>
      <c r="AT598" s="88"/>
      <c r="AU598" s="88"/>
      <c r="AV598" s="88"/>
      <c r="AW598" s="88"/>
      <c r="AX598" s="88"/>
      <c r="AY598" s="88"/>
      <c r="AZ598" s="88"/>
      <c r="BA598" s="88"/>
      <c r="BB598" s="88"/>
      <c r="BC598" s="88"/>
      <c r="BD598" s="88"/>
    </row>
    <row r="599" spans="1:56" ht="12.55" x14ac:dyDescent="0.2">
      <c r="A599" s="88"/>
      <c r="B599" s="88"/>
      <c r="C599" s="88"/>
      <c r="D599" s="88"/>
      <c r="E599" s="88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88"/>
      <c r="AL599" s="88"/>
      <c r="AM599" s="88"/>
      <c r="AN599" s="88"/>
      <c r="AO599" s="88"/>
      <c r="AP599" s="88"/>
      <c r="AQ599" s="88"/>
      <c r="AR599" s="88"/>
      <c r="AS599" s="88"/>
      <c r="AT599" s="88"/>
      <c r="AU599" s="88"/>
      <c r="AV599" s="88"/>
      <c r="AW599" s="88"/>
      <c r="AX599" s="88"/>
      <c r="AY599" s="88"/>
      <c r="AZ599" s="88"/>
      <c r="BA599" s="88"/>
      <c r="BB599" s="88"/>
      <c r="BC599" s="88"/>
      <c r="BD599" s="88"/>
    </row>
    <row r="600" spans="1:56" ht="12.55" x14ac:dyDescent="0.2">
      <c r="A600" s="88"/>
      <c r="B600" s="88"/>
      <c r="C600" s="88"/>
      <c r="D600" s="88"/>
      <c r="E600" s="88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88"/>
      <c r="AL600" s="88"/>
      <c r="AM600" s="88"/>
      <c r="AN600" s="88"/>
      <c r="AO600" s="88"/>
      <c r="AP600" s="88"/>
      <c r="AQ600" s="88"/>
      <c r="AR600" s="88"/>
      <c r="AS600" s="88"/>
      <c r="AT600" s="88"/>
      <c r="AU600" s="88"/>
      <c r="AV600" s="88"/>
      <c r="AW600" s="88"/>
      <c r="AX600" s="88"/>
      <c r="AY600" s="88"/>
      <c r="AZ600" s="88"/>
      <c r="BA600" s="88"/>
      <c r="BB600" s="88"/>
      <c r="BC600" s="88"/>
      <c r="BD600" s="88"/>
    </row>
    <row r="601" spans="1:56" ht="12.55" x14ac:dyDescent="0.2">
      <c r="A601" s="88"/>
      <c r="B601" s="88"/>
      <c r="C601" s="88"/>
      <c r="D601" s="88"/>
      <c r="E601" s="88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88"/>
      <c r="AL601" s="88"/>
      <c r="AM601" s="88"/>
      <c r="AN601" s="88"/>
      <c r="AO601" s="88"/>
      <c r="AP601" s="88"/>
      <c r="AQ601" s="88"/>
      <c r="AR601" s="88"/>
      <c r="AS601" s="88"/>
      <c r="AT601" s="88"/>
      <c r="AU601" s="88"/>
      <c r="AV601" s="88"/>
      <c r="AW601" s="88"/>
      <c r="AX601" s="88"/>
      <c r="AY601" s="88"/>
      <c r="AZ601" s="88"/>
      <c r="BA601" s="88"/>
      <c r="BB601" s="88"/>
      <c r="BC601" s="88"/>
      <c r="BD601" s="88"/>
    </row>
    <row r="602" spans="1:56" ht="12.55" x14ac:dyDescent="0.2">
      <c r="A602" s="88"/>
      <c r="B602" s="88"/>
      <c r="C602" s="88"/>
      <c r="D602" s="88"/>
      <c r="E602" s="88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88"/>
      <c r="AL602" s="88"/>
      <c r="AM602" s="88"/>
      <c r="AN602" s="88"/>
      <c r="AO602" s="88"/>
      <c r="AP602" s="88"/>
      <c r="AQ602" s="88"/>
      <c r="AR602" s="88"/>
      <c r="AS602" s="88"/>
      <c r="AT602" s="88"/>
      <c r="AU602" s="88"/>
      <c r="AV602" s="88"/>
      <c r="AW602" s="88"/>
      <c r="AX602" s="88"/>
      <c r="AY602" s="88"/>
      <c r="AZ602" s="88"/>
      <c r="BA602" s="88"/>
      <c r="BB602" s="88"/>
      <c r="BC602" s="88"/>
      <c r="BD602" s="88"/>
    </row>
    <row r="603" spans="1:56" ht="12.55" x14ac:dyDescent="0.2">
      <c r="A603" s="88"/>
      <c r="B603" s="88"/>
      <c r="C603" s="88"/>
      <c r="D603" s="88"/>
      <c r="E603" s="88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88"/>
      <c r="AL603" s="88"/>
      <c r="AM603" s="88"/>
      <c r="AN603" s="88"/>
      <c r="AO603" s="88"/>
      <c r="AP603" s="88"/>
      <c r="AQ603" s="88"/>
      <c r="AR603" s="88"/>
      <c r="AS603" s="88"/>
      <c r="AT603" s="88"/>
      <c r="AU603" s="88"/>
      <c r="AV603" s="88"/>
      <c r="AW603" s="88"/>
      <c r="AX603" s="88"/>
      <c r="AY603" s="88"/>
      <c r="AZ603" s="88"/>
      <c r="BA603" s="88"/>
      <c r="BB603" s="88"/>
      <c r="BC603" s="88"/>
      <c r="BD603" s="88"/>
    </row>
    <row r="604" spans="1:56" ht="12.55" x14ac:dyDescent="0.2">
      <c r="A604" s="88"/>
      <c r="B604" s="88"/>
      <c r="C604" s="88"/>
      <c r="D604" s="88"/>
      <c r="E604" s="88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88"/>
      <c r="AL604" s="88"/>
      <c r="AM604" s="88"/>
      <c r="AN604" s="88"/>
      <c r="AO604" s="88"/>
      <c r="AP604" s="88"/>
      <c r="AQ604" s="88"/>
      <c r="AR604" s="88"/>
      <c r="AS604" s="88"/>
      <c r="AT604" s="88"/>
      <c r="AU604" s="88"/>
      <c r="AV604" s="88"/>
      <c r="AW604" s="88"/>
      <c r="AX604" s="88"/>
      <c r="AY604" s="88"/>
      <c r="AZ604" s="88"/>
      <c r="BA604" s="88"/>
      <c r="BB604" s="88"/>
      <c r="BC604" s="88"/>
      <c r="BD604" s="88"/>
    </row>
    <row r="605" spans="1:56" ht="12.55" x14ac:dyDescent="0.2">
      <c r="A605" s="88"/>
      <c r="B605" s="88"/>
      <c r="C605" s="88"/>
      <c r="D605" s="88"/>
      <c r="E605" s="88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88"/>
      <c r="AL605" s="88"/>
      <c r="AM605" s="88"/>
      <c r="AN605" s="88"/>
      <c r="AO605" s="88"/>
      <c r="AP605" s="88"/>
      <c r="AQ605" s="88"/>
      <c r="AR605" s="88"/>
      <c r="AS605" s="88"/>
      <c r="AT605" s="88"/>
      <c r="AU605" s="88"/>
      <c r="AV605" s="88"/>
      <c r="AW605" s="88"/>
      <c r="AX605" s="88"/>
      <c r="AY605" s="88"/>
      <c r="AZ605" s="88"/>
      <c r="BA605" s="88"/>
      <c r="BB605" s="88"/>
      <c r="BC605" s="88"/>
      <c r="BD605" s="88"/>
    </row>
    <row r="606" spans="1:56" ht="12.55" x14ac:dyDescent="0.2">
      <c r="A606" s="88"/>
      <c r="B606" s="88"/>
      <c r="C606" s="88"/>
      <c r="D606" s="88"/>
      <c r="E606" s="88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88"/>
      <c r="AL606" s="88"/>
      <c r="AM606" s="88"/>
      <c r="AN606" s="88"/>
      <c r="AO606" s="88"/>
      <c r="AP606" s="88"/>
      <c r="AQ606" s="88"/>
      <c r="AR606" s="88"/>
      <c r="AS606" s="88"/>
      <c r="AT606" s="88"/>
      <c r="AU606" s="88"/>
      <c r="AV606" s="88"/>
      <c r="AW606" s="88"/>
      <c r="AX606" s="88"/>
      <c r="AY606" s="88"/>
      <c r="AZ606" s="88"/>
      <c r="BA606" s="88"/>
      <c r="BB606" s="88"/>
      <c r="BC606" s="88"/>
      <c r="BD606" s="88"/>
    </row>
    <row r="607" spans="1:56" ht="12.55" x14ac:dyDescent="0.2">
      <c r="A607" s="88"/>
      <c r="B607" s="88"/>
      <c r="C607" s="88"/>
      <c r="D607" s="88"/>
      <c r="E607" s="88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88"/>
      <c r="AL607" s="88"/>
      <c r="AM607" s="88"/>
      <c r="AN607" s="88"/>
      <c r="AO607" s="88"/>
      <c r="AP607" s="88"/>
      <c r="AQ607" s="88"/>
      <c r="AR607" s="88"/>
      <c r="AS607" s="88"/>
      <c r="AT607" s="88"/>
      <c r="AU607" s="88"/>
      <c r="AV607" s="88"/>
      <c r="AW607" s="88"/>
      <c r="AX607" s="88"/>
      <c r="AY607" s="88"/>
      <c r="AZ607" s="88"/>
      <c r="BA607" s="88"/>
      <c r="BB607" s="88"/>
      <c r="BC607" s="88"/>
      <c r="BD607" s="88"/>
    </row>
    <row r="608" spans="1:56" ht="12.55" x14ac:dyDescent="0.2">
      <c r="A608" s="88"/>
      <c r="B608" s="88"/>
      <c r="C608" s="88"/>
      <c r="D608" s="88"/>
      <c r="E608" s="88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88"/>
      <c r="AL608" s="88"/>
      <c r="AM608" s="88"/>
      <c r="AN608" s="88"/>
      <c r="AO608" s="88"/>
      <c r="AP608" s="88"/>
      <c r="AQ608" s="88"/>
      <c r="AR608" s="88"/>
      <c r="AS608" s="88"/>
      <c r="AT608" s="88"/>
      <c r="AU608" s="88"/>
      <c r="AV608" s="88"/>
      <c r="AW608" s="88"/>
      <c r="AX608" s="88"/>
      <c r="AY608" s="88"/>
      <c r="AZ608" s="88"/>
      <c r="BA608" s="88"/>
      <c r="BB608" s="88"/>
      <c r="BC608" s="88"/>
      <c r="BD608" s="88"/>
    </row>
    <row r="609" spans="1:56" ht="12.55" x14ac:dyDescent="0.2">
      <c r="A609" s="88"/>
      <c r="B609" s="88"/>
      <c r="C609" s="88"/>
      <c r="D609" s="88"/>
      <c r="E609" s="88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88"/>
      <c r="AL609" s="88"/>
      <c r="AM609" s="88"/>
      <c r="AN609" s="88"/>
      <c r="AO609" s="88"/>
      <c r="AP609" s="88"/>
      <c r="AQ609" s="88"/>
      <c r="AR609" s="88"/>
      <c r="AS609" s="88"/>
      <c r="AT609" s="88"/>
      <c r="AU609" s="88"/>
      <c r="AV609" s="88"/>
      <c r="AW609" s="88"/>
      <c r="AX609" s="88"/>
      <c r="AY609" s="88"/>
      <c r="AZ609" s="88"/>
      <c r="BA609" s="88"/>
      <c r="BB609" s="88"/>
      <c r="BC609" s="88"/>
      <c r="BD609" s="88"/>
    </row>
    <row r="610" spans="1:56" ht="12.55" x14ac:dyDescent="0.2">
      <c r="A610" s="88"/>
      <c r="B610" s="88"/>
      <c r="C610" s="88"/>
      <c r="D610" s="88"/>
      <c r="E610" s="88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88"/>
      <c r="AL610" s="88"/>
      <c r="AM610" s="88"/>
      <c r="AN610" s="88"/>
      <c r="AO610" s="88"/>
      <c r="AP610" s="88"/>
      <c r="AQ610" s="88"/>
      <c r="AR610" s="88"/>
      <c r="AS610" s="88"/>
      <c r="AT610" s="88"/>
      <c r="AU610" s="88"/>
      <c r="AV610" s="88"/>
      <c r="AW610" s="88"/>
      <c r="AX610" s="88"/>
      <c r="AY610" s="88"/>
      <c r="AZ610" s="88"/>
      <c r="BA610" s="88"/>
      <c r="BB610" s="88"/>
      <c r="BC610" s="88"/>
      <c r="BD610" s="88"/>
    </row>
    <row r="611" spans="1:56" ht="12.55" x14ac:dyDescent="0.2">
      <c r="A611" s="88"/>
      <c r="B611" s="88"/>
      <c r="C611" s="88"/>
      <c r="D611" s="88"/>
      <c r="E611" s="88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88"/>
      <c r="AL611" s="88"/>
      <c r="AM611" s="88"/>
      <c r="AN611" s="88"/>
      <c r="AO611" s="88"/>
      <c r="AP611" s="88"/>
      <c r="AQ611" s="88"/>
      <c r="AR611" s="88"/>
      <c r="AS611" s="88"/>
      <c r="AT611" s="88"/>
      <c r="AU611" s="88"/>
      <c r="AV611" s="88"/>
      <c r="AW611" s="88"/>
      <c r="AX611" s="88"/>
      <c r="AY611" s="88"/>
      <c r="AZ611" s="88"/>
      <c r="BA611" s="88"/>
      <c r="BB611" s="88"/>
      <c r="BC611" s="88"/>
      <c r="BD611" s="88"/>
    </row>
    <row r="612" spans="1:56" ht="12.55" x14ac:dyDescent="0.2">
      <c r="A612" s="88"/>
      <c r="B612" s="88"/>
      <c r="C612" s="88"/>
      <c r="D612" s="88"/>
      <c r="E612" s="88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88"/>
      <c r="AL612" s="88"/>
      <c r="AM612" s="88"/>
      <c r="AN612" s="88"/>
      <c r="AO612" s="88"/>
      <c r="AP612" s="88"/>
      <c r="AQ612" s="88"/>
      <c r="AR612" s="88"/>
      <c r="AS612" s="88"/>
      <c r="AT612" s="88"/>
      <c r="AU612" s="88"/>
      <c r="AV612" s="88"/>
      <c r="AW612" s="88"/>
      <c r="AX612" s="88"/>
      <c r="AY612" s="88"/>
      <c r="AZ612" s="88"/>
      <c r="BA612" s="88"/>
      <c r="BB612" s="88"/>
      <c r="BC612" s="88"/>
      <c r="BD612" s="88"/>
    </row>
    <row r="613" spans="1:56" ht="12.55" x14ac:dyDescent="0.2">
      <c r="A613" s="88"/>
      <c r="B613" s="88"/>
      <c r="C613" s="88"/>
      <c r="D613" s="88"/>
      <c r="E613" s="88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88"/>
      <c r="AL613" s="88"/>
      <c r="AM613" s="88"/>
      <c r="AN613" s="88"/>
      <c r="AO613" s="88"/>
      <c r="AP613" s="88"/>
      <c r="AQ613" s="88"/>
      <c r="AR613" s="88"/>
      <c r="AS613" s="88"/>
      <c r="AT613" s="88"/>
      <c r="AU613" s="88"/>
      <c r="AV613" s="88"/>
      <c r="AW613" s="88"/>
      <c r="AX613" s="88"/>
      <c r="AY613" s="88"/>
      <c r="AZ613" s="88"/>
      <c r="BA613" s="88"/>
      <c r="BB613" s="88"/>
      <c r="BC613" s="88"/>
      <c r="BD613" s="88"/>
    </row>
    <row r="614" spans="1:56" ht="12.55" x14ac:dyDescent="0.2">
      <c r="A614" s="88"/>
      <c r="B614" s="88"/>
      <c r="C614" s="88"/>
      <c r="D614" s="88"/>
      <c r="E614" s="88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88"/>
      <c r="AL614" s="88"/>
      <c r="AM614" s="88"/>
      <c r="AN614" s="88"/>
      <c r="AO614" s="88"/>
      <c r="AP614" s="88"/>
      <c r="AQ614" s="88"/>
      <c r="AR614" s="88"/>
      <c r="AS614" s="88"/>
      <c r="AT614" s="88"/>
      <c r="AU614" s="88"/>
      <c r="AV614" s="88"/>
      <c r="AW614" s="88"/>
      <c r="AX614" s="88"/>
      <c r="AY614" s="88"/>
      <c r="AZ614" s="88"/>
      <c r="BA614" s="88"/>
      <c r="BB614" s="88"/>
      <c r="BC614" s="88"/>
      <c r="BD614" s="88"/>
    </row>
    <row r="615" spans="1:56" ht="12.55" x14ac:dyDescent="0.2">
      <c r="A615" s="88"/>
      <c r="B615" s="88"/>
      <c r="C615" s="88"/>
      <c r="D615" s="88"/>
      <c r="E615" s="88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88"/>
      <c r="AL615" s="88"/>
      <c r="AM615" s="88"/>
      <c r="AN615" s="88"/>
      <c r="AO615" s="88"/>
      <c r="AP615" s="88"/>
      <c r="AQ615" s="88"/>
      <c r="AR615" s="88"/>
      <c r="AS615" s="88"/>
      <c r="AT615" s="88"/>
      <c r="AU615" s="88"/>
      <c r="AV615" s="88"/>
      <c r="AW615" s="88"/>
      <c r="AX615" s="88"/>
      <c r="AY615" s="88"/>
      <c r="AZ615" s="88"/>
      <c r="BA615" s="88"/>
      <c r="BB615" s="88"/>
      <c r="BC615" s="88"/>
      <c r="BD615" s="88"/>
    </row>
    <row r="616" spans="1:56" ht="12.55" x14ac:dyDescent="0.2">
      <c r="A616" s="88"/>
      <c r="B616" s="88"/>
      <c r="C616" s="88"/>
      <c r="D616" s="88"/>
      <c r="E616" s="88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88"/>
      <c r="AL616" s="88"/>
      <c r="AM616" s="88"/>
      <c r="AN616" s="88"/>
      <c r="AO616" s="88"/>
      <c r="AP616" s="88"/>
      <c r="AQ616" s="88"/>
      <c r="AR616" s="88"/>
      <c r="AS616" s="88"/>
      <c r="AT616" s="88"/>
      <c r="AU616" s="88"/>
      <c r="AV616" s="88"/>
      <c r="AW616" s="88"/>
      <c r="AX616" s="88"/>
      <c r="AY616" s="88"/>
      <c r="AZ616" s="88"/>
      <c r="BA616" s="88"/>
      <c r="BB616" s="88"/>
      <c r="BC616" s="88"/>
      <c r="BD616" s="88"/>
    </row>
    <row r="617" spans="1:56" ht="12.55" x14ac:dyDescent="0.2">
      <c r="A617" s="88"/>
      <c r="B617" s="88"/>
      <c r="C617" s="88"/>
      <c r="D617" s="88"/>
      <c r="E617" s="88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88"/>
      <c r="AL617" s="88"/>
      <c r="AM617" s="88"/>
      <c r="AN617" s="88"/>
      <c r="AO617" s="88"/>
      <c r="AP617" s="88"/>
      <c r="AQ617" s="88"/>
      <c r="AR617" s="88"/>
      <c r="AS617" s="88"/>
      <c r="AT617" s="88"/>
      <c r="AU617" s="88"/>
      <c r="AV617" s="88"/>
      <c r="AW617" s="88"/>
      <c r="AX617" s="88"/>
      <c r="AY617" s="88"/>
      <c r="AZ617" s="88"/>
      <c r="BA617" s="88"/>
      <c r="BB617" s="88"/>
      <c r="BC617" s="88"/>
      <c r="BD617" s="88"/>
    </row>
    <row r="618" spans="1:56" ht="12.55" x14ac:dyDescent="0.2">
      <c r="A618" s="88"/>
      <c r="B618" s="88"/>
      <c r="C618" s="88"/>
      <c r="D618" s="88"/>
      <c r="E618" s="88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88"/>
      <c r="AL618" s="88"/>
      <c r="AM618" s="88"/>
      <c r="AN618" s="88"/>
      <c r="AO618" s="88"/>
      <c r="AP618" s="88"/>
      <c r="AQ618" s="88"/>
      <c r="AR618" s="88"/>
      <c r="AS618" s="88"/>
      <c r="AT618" s="88"/>
      <c r="AU618" s="88"/>
      <c r="AV618" s="88"/>
      <c r="AW618" s="88"/>
      <c r="AX618" s="88"/>
      <c r="AY618" s="88"/>
      <c r="AZ618" s="88"/>
      <c r="BA618" s="88"/>
      <c r="BB618" s="88"/>
      <c r="BC618" s="88"/>
      <c r="BD618" s="88"/>
    </row>
    <row r="619" spans="1:56" ht="12.55" x14ac:dyDescent="0.2">
      <c r="A619" s="88"/>
      <c r="B619" s="88"/>
      <c r="C619" s="88"/>
      <c r="D619" s="88"/>
      <c r="E619" s="88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88"/>
      <c r="AL619" s="88"/>
      <c r="AM619" s="88"/>
      <c r="AN619" s="88"/>
      <c r="AO619" s="88"/>
      <c r="AP619" s="88"/>
      <c r="AQ619" s="88"/>
      <c r="AR619" s="88"/>
      <c r="AS619" s="88"/>
      <c r="AT619" s="88"/>
      <c r="AU619" s="88"/>
      <c r="AV619" s="88"/>
      <c r="AW619" s="88"/>
      <c r="AX619" s="88"/>
      <c r="AY619" s="88"/>
      <c r="AZ619" s="88"/>
      <c r="BA619" s="88"/>
      <c r="BB619" s="88"/>
      <c r="BC619" s="88"/>
      <c r="BD619" s="88"/>
    </row>
    <row r="620" spans="1:56" ht="12.55" x14ac:dyDescent="0.2">
      <c r="A620" s="88"/>
      <c r="B620" s="88"/>
      <c r="C620" s="88"/>
      <c r="D620" s="88"/>
      <c r="E620" s="88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88"/>
      <c r="AL620" s="88"/>
      <c r="AM620" s="88"/>
      <c r="AN620" s="88"/>
      <c r="AO620" s="88"/>
      <c r="AP620" s="88"/>
      <c r="AQ620" s="88"/>
      <c r="AR620" s="88"/>
      <c r="AS620" s="88"/>
      <c r="AT620" s="88"/>
      <c r="AU620" s="88"/>
      <c r="AV620" s="88"/>
      <c r="AW620" s="88"/>
      <c r="AX620" s="88"/>
      <c r="AY620" s="88"/>
      <c r="AZ620" s="88"/>
      <c r="BA620" s="88"/>
      <c r="BB620" s="88"/>
      <c r="BC620" s="88"/>
      <c r="BD620" s="88"/>
    </row>
    <row r="621" spans="1:56" ht="12.55" x14ac:dyDescent="0.2">
      <c r="A621" s="88"/>
      <c r="B621" s="88"/>
      <c r="C621" s="88"/>
      <c r="D621" s="88"/>
      <c r="E621" s="88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88"/>
      <c r="AL621" s="88"/>
      <c r="AM621" s="88"/>
      <c r="AN621" s="88"/>
      <c r="AO621" s="88"/>
      <c r="AP621" s="88"/>
      <c r="AQ621" s="88"/>
      <c r="AR621" s="88"/>
      <c r="AS621" s="88"/>
      <c r="AT621" s="88"/>
      <c r="AU621" s="88"/>
      <c r="AV621" s="88"/>
      <c r="AW621" s="88"/>
      <c r="AX621" s="88"/>
      <c r="AY621" s="88"/>
      <c r="AZ621" s="88"/>
      <c r="BA621" s="88"/>
      <c r="BB621" s="88"/>
      <c r="BC621" s="88"/>
      <c r="BD621" s="88"/>
    </row>
    <row r="622" spans="1:56" ht="12.55" x14ac:dyDescent="0.2">
      <c r="A622" s="88"/>
      <c r="B622" s="88"/>
      <c r="C622" s="88"/>
      <c r="D622" s="88"/>
      <c r="E622" s="88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88"/>
      <c r="AL622" s="88"/>
      <c r="AM622" s="88"/>
      <c r="AN622" s="88"/>
      <c r="AO622" s="88"/>
      <c r="AP622" s="88"/>
      <c r="AQ622" s="88"/>
      <c r="AR622" s="88"/>
      <c r="AS622" s="88"/>
      <c r="AT622" s="88"/>
      <c r="AU622" s="88"/>
      <c r="AV622" s="88"/>
      <c r="AW622" s="88"/>
      <c r="AX622" s="88"/>
      <c r="AY622" s="88"/>
      <c r="AZ622" s="88"/>
      <c r="BA622" s="88"/>
      <c r="BB622" s="88"/>
      <c r="BC622" s="88"/>
      <c r="BD622" s="88"/>
    </row>
    <row r="623" spans="1:56" ht="12.55" x14ac:dyDescent="0.2">
      <c r="A623" s="88"/>
      <c r="B623" s="88"/>
      <c r="C623" s="88"/>
      <c r="D623" s="88"/>
      <c r="E623" s="88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88"/>
      <c r="AL623" s="88"/>
      <c r="AM623" s="88"/>
      <c r="AN623" s="88"/>
      <c r="AO623" s="88"/>
      <c r="AP623" s="88"/>
      <c r="AQ623" s="88"/>
      <c r="AR623" s="88"/>
      <c r="AS623" s="88"/>
      <c r="AT623" s="88"/>
      <c r="AU623" s="88"/>
      <c r="AV623" s="88"/>
      <c r="AW623" s="88"/>
      <c r="AX623" s="88"/>
      <c r="AY623" s="88"/>
      <c r="AZ623" s="88"/>
      <c r="BA623" s="88"/>
      <c r="BB623" s="88"/>
      <c r="BC623" s="88"/>
      <c r="BD623" s="88"/>
    </row>
    <row r="624" spans="1:56" ht="12.55" x14ac:dyDescent="0.2">
      <c r="A624" s="88"/>
      <c r="B624" s="88"/>
      <c r="C624" s="88"/>
      <c r="D624" s="88"/>
      <c r="E624" s="88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88"/>
      <c r="AL624" s="88"/>
      <c r="AM624" s="88"/>
      <c r="AN624" s="88"/>
      <c r="AO624" s="88"/>
      <c r="AP624" s="88"/>
      <c r="AQ624" s="88"/>
      <c r="AR624" s="88"/>
      <c r="AS624" s="88"/>
      <c r="AT624" s="88"/>
      <c r="AU624" s="88"/>
      <c r="AV624" s="88"/>
      <c r="AW624" s="88"/>
      <c r="AX624" s="88"/>
      <c r="AY624" s="88"/>
      <c r="AZ624" s="88"/>
      <c r="BA624" s="88"/>
      <c r="BB624" s="88"/>
      <c r="BC624" s="88"/>
      <c r="BD624" s="88"/>
    </row>
    <row r="625" spans="1:56" ht="12.55" x14ac:dyDescent="0.2">
      <c r="A625" s="88"/>
      <c r="B625" s="88"/>
      <c r="C625" s="88"/>
      <c r="D625" s="88"/>
      <c r="E625" s="88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88"/>
      <c r="AL625" s="88"/>
      <c r="AM625" s="88"/>
      <c r="AN625" s="88"/>
      <c r="AO625" s="88"/>
      <c r="AP625" s="88"/>
      <c r="AQ625" s="88"/>
      <c r="AR625" s="88"/>
      <c r="AS625" s="88"/>
      <c r="AT625" s="88"/>
      <c r="AU625" s="88"/>
      <c r="AV625" s="88"/>
      <c r="AW625" s="88"/>
      <c r="AX625" s="88"/>
      <c r="AY625" s="88"/>
      <c r="AZ625" s="88"/>
      <c r="BA625" s="88"/>
      <c r="BB625" s="88"/>
      <c r="BC625" s="88"/>
      <c r="BD625" s="88"/>
    </row>
    <row r="626" spans="1:56" ht="12.55" x14ac:dyDescent="0.2">
      <c r="A626" s="88"/>
      <c r="B626" s="88"/>
      <c r="C626" s="88"/>
      <c r="D626" s="88"/>
      <c r="E626" s="88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88"/>
      <c r="AL626" s="88"/>
      <c r="AM626" s="88"/>
      <c r="AN626" s="88"/>
      <c r="AO626" s="88"/>
      <c r="AP626" s="88"/>
      <c r="AQ626" s="88"/>
      <c r="AR626" s="88"/>
      <c r="AS626" s="88"/>
      <c r="AT626" s="88"/>
      <c r="AU626" s="88"/>
      <c r="AV626" s="88"/>
      <c r="AW626" s="88"/>
      <c r="AX626" s="88"/>
      <c r="AY626" s="88"/>
      <c r="AZ626" s="88"/>
      <c r="BA626" s="88"/>
      <c r="BB626" s="88"/>
      <c r="BC626" s="88"/>
      <c r="BD626" s="88"/>
    </row>
    <row r="627" spans="1:56" ht="12.55" x14ac:dyDescent="0.2">
      <c r="A627" s="88"/>
      <c r="B627" s="88"/>
      <c r="C627" s="88"/>
      <c r="D627" s="88"/>
      <c r="E627" s="88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88"/>
      <c r="AL627" s="88"/>
      <c r="AM627" s="88"/>
      <c r="AN627" s="88"/>
      <c r="AO627" s="88"/>
      <c r="AP627" s="88"/>
      <c r="AQ627" s="88"/>
      <c r="AR627" s="88"/>
      <c r="AS627" s="88"/>
      <c r="AT627" s="88"/>
      <c r="AU627" s="88"/>
      <c r="AV627" s="88"/>
      <c r="AW627" s="88"/>
      <c r="AX627" s="88"/>
      <c r="AY627" s="88"/>
      <c r="AZ627" s="88"/>
      <c r="BA627" s="88"/>
      <c r="BB627" s="88"/>
      <c r="BC627" s="88"/>
      <c r="BD627" s="88"/>
    </row>
    <row r="628" spans="1:56" ht="12.55" x14ac:dyDescent="0.2">
      <c r="A628" s="88"/>
      <c r="B628" s="88"/>
      <c r="C628" s="88"/>
      <c r="D628" s="88"/>
      <c r="E628" s="88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88"/>
      <c r="AL628" s="88"/>
      <c r="AM628" s="88"/>
      <c r="AN628" s="88"/>
      <c r="AO628" s="88"/>
      <c r="AP628" s="88"/>
      <c r="AQ628" s="88"/>
      <c r="AR628" s="88"/>
      <c r="AS628" s="88"/>
      <c r="AT628" s="88"/>
      <c r="AU628" s="88"/>
      <c r="AV628" s="88"/>
      <c r="AW628" s="88"/>
      <c r="AX628" s="88"/>
      <c r="AY628" s="88"/>
      <c r="AZ628" s="88"/>
      <c r="BA628" s="88"/>
      <c r="BB628" s="88"/>
      <c r="BC628" s="88"/>
      <c r="BD628" s="88"/>
    </row>
    <row r="629" spans="1:56" ht="12.55" x14ac:dyDescent="0.2">
      <c r="A629" s="88"/>
      <c r="B629" s="88"/>
      <c r="C629" s="88"/>
      <c r="D629" s="88"/>
      <c r="E629" s="88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88"/>
      <c r="AL629" s="88"/>
      <c r="AM629" s="88"/>
      <c r="AN629" s="88"/>
      <c r="AO629" s="88"/>
      <c r="AP629" s="88"/>
      <c r="AQ629" s="88"/>
      <c r="AR629" s="88"/>
      <c r="AS629" s="88"/>
      <c r="AT629" s="88"/>
      <c r="AU629" s="88"/>
      <c r="AV629" s="88"/>
      <c r="AW629" s="88"/>
      <c r="AX629" s="88"/>
      <c r="AY629" s="88"/>
      <c r="AZ629" s="88"/>
      <c r="BA629" s="88"/>
      <c r="BB629" s="88"/>
      <c r="BC629" s="88"/>
      <c r="BD629" s="88"/>
    </row>
    <row r="630" spans="1:56" ht="12.55" x14ac:dyDescent="0.2">
      <c r="A630" s="88"/>
      <c r="B630" s="88"/>
      <c r="C630" s="88"/>
      <c r="D630" s="88"/>
      <c r="E630" s="88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88"/>
      <c r="AL630" s="88"/>
      <c r="AM630" s="88"/>
      <c r="AN630" s="88"/>
      <c r="AO630" s="88"/>
      <c r="AP630" s="88"/>
      <c r="AQ630" s="88"/>
      <c r="AR630" s="88"/>
      <c r="AS630" s="88"/>
      <c r="AT630" s="88"/>
      <c r="AU630" s="88"/>
      <c r="AV630" s="88"/>
      <c r="AW630" s="88"/>
      <c r="AX630" s="88"/>
      <c r="AY630" s="88"/>
      <c r="AZ630" s="88"/>
      <c r="BA630" s="88"/>
      <c r="BB630" s="88"/>
      <c r="BC630" s="88"/>
      <c r="BD630" s="88"/>
    </row>
    <row r="631" spans="1:56" ht="12.55" x14ac:dyDescent="0.2">
      <c r="A631" s="88"/>
      <c r="B631" s="88"/>
      <c r="C631" s="88"/>
      <c r="D631" s="88"/>
      <c r="E631" s="88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88"/>
      <c r="AL631" s="88"/>
      <c r="AM631" s="88"/>
      <c r="AN631" s="88"/>
      <c r="AO631" s="88"/>
      <c r="AP631" s="88"/>
      <c r="AQ631" s="88"/>
      <c r="AR631" s="88"/>
      <c r="AS631" s="88"/>
      <c r="AT631" s="88"/>
      <c r="AU631" s="88"/>
      <c r="AV631" s="88"/>
      <c r="AW631" s="88"/>
      <c r="AX631" s="88"/>
      <c r="AY631" s="88"/>
      <c r="AZ631" s="88"/>
      <c r="BA631" s="88"/>
      <c r="BB631" s="88"/>
      <c r="BC631" s="88"/>
      <c r="BD631" s="88"/>
    </row>
    <row r="632" spans="1:56" ht="12.55" x14ac:dyDescent="0.2">
      <c r="A632" s="88"/>
      <c r="B632" s="88"/>
      <c r="C632" s="88"/>
      <c r="D632" s="88"/>
      <c r="E632" s="88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88"/>
      <c r="AL632" s="88"/>
      <c r="AM632" s="88"/>
      <c r="AN632" s="88"/>
      <c r="AO632" s="88"/>
      <c r="AP632" s="88"/>
      <c r="AQ632" s="88"/>
      <c r="AR632" s="88"/>
      <c r="AS632" s="88"/>
      <c r="AT632" s="88"/>
      <c r="AU632" s="88"/>
      <c r="AV632" s="88"/>
      <c r="AW632" s="88"/>
      <c r="AX632" s="88"/>
      <c r="AY632" s="88"/>
      <c r="AZ632" s="88"/>
      <c r="BA632" s="88"/>
      <c r="BB632" s="88"/>
      <c r="BC632" s="88"/>
      <c r="BD632" s="88"/>
    </row>
    <row r="633" spans="1:56" ht="12.55" x14ac:dyDescent="0.2">
      <c r="A633" s="88"/>
      <c r="B633" s="88"/>
      <c r="C633" s="88"/>
      <c r="D633" s="88"/>
      <c r="E633" s="88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88"/>
      <c r="AL633" s="88"/>
      <c r="AM633" s="88"/>
      <c r="AN633" s="88"/>
      <c r="AO633" s="88"/>
      <c r="AP633" s="88"/>
      <c r="AQ633" s="88"/>
      <c r="AR633" s="88"/>
      <c r="AS633" s="88"/>
      <c r="AT633" s="88"/>
      <c r="AU633" s="88"/>
      <c r="AV633" s="88"/>
      <c r="AW633" s="88"/>
      <c r="AX633" s="88"/>
      <c r="AY633" s="88"/>
      <c r="AZ633" s="88"/>
      <c r="BA633" s="88"/>
      <c r="BB633" s="88"/>
      <c r="BC633" s="88"/>
      <c r="BD633" s="88"/>
    </row>
    <row r="634" spans="1:56" ht="12.55" x14ac:dyDescent="0.2">
      <c r="A634" s="88"/>
      <c r="B634" s="88"/>
      <c r="C634" s="88"/>
      <c r="D634" s="88"/>
      <c r="E634" s="88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88"/>
      <c r="AL634" s="88"/>
      <c r="AM634" s="88"/>
      <c r="AN634" s="88"/>
      <c r="AO634" s="88"/>
      <c r="AP634" s="88"/>
      <c r="AQ634" s="88"/>
      <c r="AR634" s="88"/>
      <c r="AS634" s="88"/>
      <c r="AT634" s="88"/>
      <c r="AU634" s="88"/>
      <c r="AV634" s="88"/>
      <c r="AW634" s="88"/>
      <c r="AX634" s="88"/>
      <c r="AY634" s="88"/>
      <c r="AZ634" s="88"/>
      <c r="BA634" s="88"/>
      <c r="BB634" s="88"/>
      <c r="BC634" s="88"/>
      <c r="BD634" s="88"/>
    </row>
    <row r="635" spans="1:56" ht="12.55" x14ac:dyDescent="0.2">
      <c r="A635" s="88"/>
      <c r="B635" s="88"/>
      <c r="C635" s="88"/>
      <c r="D635" s="88"/>
      <c r="E635" s="88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88"/>
      <c r="AL635" s="88"/>
      <c r="AM635" s="88"/>
      <c r="AN635" s="88"/>
      <c r="AO635" s="88"/>
      <c r="AP635" s="88"/>
      <c r="AQ635" s="88"/>
      <c r="AR635" s="88"/>
      <c r="AS635" s="88"/>
      <c r="AT635" s="88"/>
      <c r="AU635" s="88"/>
      <c r="AV635" s="88"/>
      <c r="AW635" s="88"/>
      <c r="AX635" s="88"/>
      <c r="AY635" s="88"/>
      <c r="AZ635" s="88"/>
      <c r="BA635" s="88"/>
      <c r="BB635" s="88"/>
      <c r="BC635" s="88"/>
      <c r="BD635" s="88"/>
    </row>
    <row r="636" spans="1:56" ht="12.55" x14ac:dyDescent="0.2">
      <c r="A636" s="88"/>
      <c r="B636" s="88"/>
      <c r="C636" s="88"/>
      <c r="D636" s="88"/>
      <c r="E636" s="88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88"/>
      <c r="AL636" s="88"/>
      <c r="AM636" s="88"/>
      <c r="AN636" s="88"/>
      <c r="AO636" s="88"/>
      <c r="AP636" s="88"/>
      <c r="AQ636" s="88"/>
      <c r="AR636" s="88"/>
      <c r="AS636" s="88"/>
      <c r="AT636" s="88"/>
      <c r="AU636" s="88"/>
      <c r="AV636" s="88"/>
      <c r="AW636" s="88"/>
      <c r="AX636" s="88"/>
      <c r="AY636" s="88"/>
      <c r="AZ636" s="88"/>
      <c r="BA636" s="88"/>
      <c r="BB636" s="88"/>
      <c r="BC636" s="88"/>
      <c r="BD636" s="88"/>
    </row>
    <row r="637" spans="1:56" ht="12.55" x14ac:dyDescent="0.2">
      <c r="A637" s="88"/>
      <c r="B637" s="88"/>
      <c r="C637" s="88"/>
      <c r="D637" s="88"/>
      <c r="E637" s="88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88"/>
      <c r="AL637" s="88"/>
      <c r="AM637" s="88"/>
      <c r="AN637" s="88"/>
      <c r="AO637" s="88"/>
      <c r="AP637" s="88"/>
      <c r="AQ637" s="88"/>
      <c r="AR637" s="88"/>
      <c r="AS637" s="88"/>
      <c r="AT637" s="88"/>
      <c r="AU637" s="88"/>
      <c r="AV637" s="88"/>
      <c r="AW637" s="88"/>
      <c r="AX637" s="88"/>
      <c r="AY637" s="88"/>
      <c r="AZ637" s="88"/>
      <c r="BA637" s="88"/>
      <c r="BB637" s="88"/>
      <c r="BC637" s="88"/>
      <c r="BD637" s="88"/>
    </row>
    <row r="638" spans="1:56" ht="12.55" x14ac:dyDescent="0.2">
      <c r="A638" s="88"/>
      <c r="B638" s="88"/>
      <c r="C638" s="88"/>
      <c r="D638" s="88"/>
      <c r="E638" s="88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88"/>
      <c r="AL638" s="88"/>
      <c r="AM638" s="88"/>
      <c r="AN638" s="88"/>
      <c r="AO638" s="88"/>
      <c r="AP638" s="88"/>
      <c r="AQ638" s="88"/>
      <c r="AR638" s="88"/>
      <c r="AS638" s="88"/>
      <c r="AT638" s="88"/>
      <c r="AU638" s="88"/>
      <c r="AV638" s="88"/>
      <c r="AW638" s="88"/>
      <c r="AX638" s="88"/>
      <c r="AY638" s="88"/>
      <c r="AZ638" s="88"/>
      <c r="BA638" s="88"/>
      <c r="BB638" s="88"/>
      <c r="BC638" s="88"/>
      <c r="BD638" s="88"/>
    </row>
    <row r="639" spans="1:56" ht="12.55" x14ac:dyDescent="0.2">
      <c r="A639" s="88"/>
      <c r="B639" s="88"/>
      <c r="C639" s="88"/>
      <c r="D639" s="88"/>
      <c r="E639" s="88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88"/>
      <c r="AL639" s="88"/>
      <c r="AM639" s="88"/>
      <c r="AN639" s="88"/>
      <c r="AO639" s="88"/>
      <c r="AP639" s="88"/>
      <c r="AQ639" s="88"/>
      <c r="AR639" s="88"/>
      <c r="AS639" s="88"/>
      <c r="AT639" s="88"/>
      <c r="AU639" s="88"/>
      <c r="AV639" s="88"/>
      <c r="AW639" s="88"/>
      <c r="AX639" s="88"/>
      <c r="AY639" s="88"/>
      <c r="AZ639" s="88"/>
      <c r="BA639" s="88"/>
      <c r="BB639" s="88"/>
      <c r="BC639" s="88"/>
      <c r="BD639" s="88"/>
    </row>
    <row r="640" spans="1:56" ht="12.55" x14ac:dyDescent="0.2">
      <c r="A640" s="88"/>
      <c r="B640" s="88"/>
      <c r="C640" s="88"/>
      <c r="D640" s="88"/>
      <c r="E640" s="88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88"/>
      <c r="AL640" s="88"/>
      <c r="AM640" s="88"/>
      <c r="AN640" s="88"/>
      <c r="AO640" s="88"/>
      <c r="AP640" s="88"/>
      <c r="AQ640" s="88"/>
      <c r="AR640" s="88"/>
      <c r="AS640" s="88"/>
      <c r="AT640" s="88"/>
      <c r="AU640" s="88"/>
      <c r="AV640" s="88"/>
      <c r="AW640" s="88"/>
      <c r="AX640" s="88"/>
      <c r="AY640" s="88"/>
      <c r="AZ640" s="88"/>
      <c r="BA640" s="88"/>
      <c r="BB640" s="88"/>
      <c r="BC640" s="88"/>
      <c r="BD640" s="88"/>
    </row>
    <row r="641" spans="1:56" ht="12.55" x14ac:dyDescent="0.2">
      <c r="A641" s="88"/>
      <c r="B641" s="88"/>
      <c r="C641" s="88"/>
      <c r="D641" s="88"/>
      <c r="E641" s="88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88"/>
      <c r="AL641" s="88"/>
      <c r="AM641" s="88"/>
      <c r="AN641" s="88"/>
      <c r="AO641" s="88"/>
      <c r="AP641" s="88"/>
      <c r="AQ641" s="88"/>
      <c r="AR641" s="88"/>
      <c r="AS641" s="88"/>
      <c r="AT641" s="88"/>
      <c r="AU641" s="88"/>
      <c r="AV641" s="88"/>
      <c r="AW641" s="88"/>
      <c r="AX641" s="88"/>
      <c r="AY641" s="88"/>
      <c r="AZ641" s="88"/>
      <c r="BA641" s="88"/>
      <c r="BB641" s="88"/>
      <c r="BC641" s="88"/>
      <c r="BD641" s="88"/>
    </row>
    <row r="642" spans="1:56" ht="12.55" x14ac:dyDescent="0.2">
      <c r="A642" s="88"/>
      <c r="B642" s="88"/>
      <c r="C642" s="88"/>
      <c r="D642" s="88"/>
      <c r="E642" s="88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88"/>
      <c r="AL642" s="88"/>
      <c r="AM642" s="88"/>
      <c r="AN642" s="88"/>
      <c r="AO642" s="88"/>
      <c r="AP642" s="88"/>
      <c r="AQ642" s="88"/>
      <c r="AR642" s="88"/>
      <c r="AS642" s="88"/>
      <c r="AT642" s="88"/>
      <c r="AU642" s="88"/>
      <c r="AV642" s="88"/>
      <c r="AW642" s="88"/>
      <c r="AX642" s="88"/>
      <c r="AY642" s="88"/>
      <c r="AZ642" s="88"/>
      <c r="BA642" s="88"/>
      <c r="BB642" s="88"/>
      <c r="BC642" s="88"/>
      <c r="BD642" s="88"/>
    </row>
    <row r="643" spans="1:56" ht="12.55" x14ac:dyDescent="0.2">
      <c r="A643" s="88"/>
      <c r="B643" s="88"/>
      <c r="C643" s="88"/>
      <c r="D643" s="88"/>
      <c r="E643" s="88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88"/>
      <c r="AL643" s="88"/>
      <c r="AM643" s="88"/>
      <c r="AN643" s="88"/>
      <c r="AO643" s="88"/>
      <c r="AP643" s="88"/>
      <c r="AQ643" s="88"/>
      <c r="AR643" s="88"/>
      <c r="AS643" s="88"/>
      <c r="AT643" s="88"/>
      <c r="AU643" s="88"/>
      <c r="AV643" s="88"/>
      <c r="AW643" s="88"/>
      <c r="AX643" s="88"/>
      <c r="AY643" s="88"/>
      <c r="AZ643" s="88"/>
      <c r="BA643" s="88"/>
      <c r="BB643" s="88"/>
      <c r="BC643" s="88"/>
      <c r="BD643" s="88"/>
    </row>
    <row r="644" spans="1:56" ht="12.55" x14ac:dyDescent="0.2">
      <c r="A644" s="88"/>
      <c r="B644" s="88"/>
      <c r="C644" s="88"/>
      <c r="D644" s="88"/>
      <c r="E644" s="88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88"/>
      <c r="AL644" s="88"/>
      <c r="AM644" s="88"/>
      <c r="AN644" s="88"/>
      <c r="AO644" s="88"/>
      <c r="AP644" s="88"/>
      <c r="AQ644" s="88"/>
      <c r="AR644" s="88"/>
      <c r="AS644" s="88"/>
      <c r="AT644" s="88"/>
      <c r="AU644" s="88"/>
      <c r="AV644" s="88"/>
      <c r="AW644" s="88"/>
      <c r="AX644" s="88"/>
      <c r="AY644" s="88"/>
      <c r="AZ644" s="88"/>
      <c r="BA644" s="88"/>
      <c r="BB644" s="88"/>
      <c r="BC644" s="88"/>
      <c r="BD644" s="88"/>
    </row>
    <row r="645" spans="1:56" ht="12.55" x14ac:dyDescent="0.2">
      <c r="A645" s="88"/>
      <c r="B645" s="88"/>
      <c r="C645" s="88"/>
      <c r="D645" s="88"/>
      <c r="E645" s="88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88"/>
      <c r="AL645" s="88"/>
      <c r="AM645" s="88"/>
      <c r="AN645" s="88"/>
      <c r="AO645" s="88"/>
      <c r="AP645" s="88"/>
      <c r="AQ645" s="88"/>
      <c r="AR645" s="88"/>
      <c r="AS645" s="88"/>
      <c r="AT645" s="88"/>
      <c r="AU645" s="88"/>
      <c r="AV645" s="88"/>
      <c r="AW645" s="88"/>
      <c r="AX645" s="88"/>
      <c r="AY645" s="88"/>
      <c r="AZ645" s="88"/>
      <c r="BA645" s="88"/>
      <c r="BB645" s="88"/>
      <c r="BC645" s="88"/>
      <c r="BD645" s="88"/>
    </row>
    <row r="646" spans="1:56" ht="12.55" x14ac:dyDescent="0.2">
      <c r="A646" s="88"/>
      <c r="B646" s="88"/>
      <c r="C646" s="88"/>
      <c r="D646" s="88"/>
      <c r="E646" s="88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88"/>
      <c r="AL646" s="88"/>
      <c r="AM646" s="88"/>
      <c r="AN646" s="88"/>
      <c r="AO646" s="88"/>
      <c r="AP646" s="88"/>
      <c r="AQ646" s="88"/>
      <c r="AR646" s="88"/>
      <c r="AS646" s="88"/>
      <c r="AT646" s="88"/>
      <c r="AU646" s="88"/>
      <c r="AV646" s="88"/>
      <c r="AW646" s="88"/>
      <c r="AX646" s="88"/>
      <c r="AY646" s="88"/>
      <c r="AZ646" s="88"/>
      <c r="BA646" s="88"/>
      <c r="BB646" s="88"/>
      <c r="BC646" s="88"/>
      <c r="BD646" s="88"/>
    </row>
    <row r="647" spans="1:56" ht="12.55" x14ac:dyDescent="0.2">
      <c r="A647" s="88"/>
      <c r="B647" s="88"/>
      <c r="C647" s="88"/>
      <c r="D647" s="88"/>
      <c r="E647" s="88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88"/>
      <c r="AL647" s="88"/>
      <c r="AM647" s="88"/>
      <c r="AN647" s="88"/>
      <c r="AO647" s="88"/>
      <c r="AP647" s="88"/>
      <c r="AQ647" s="88"/>
      <c r="AR647" s="88"/>
      <c r="AS647" s="88"/>
      <c r="AT647" s="88"/>
      <c r="AU647" s="88"/>
      <c r="AV647" s="88"/>
      <c r="AW647" s="88"/>
      <c r="AX647" s="88"/>
      <c r="AY647" s="88"/>
      <c r="AZ647" s="88"/>
      <c r="BA647" s="88"/>
      <c r="BB647" s="88"/>
      <c r="BC647" s="88"/>
      <c r="BD647" s="88"/>
    </row>
    <row r="648" spans="1:56" ht="12.55" x14ac:dyDescent="0.2">
      <c r="A648" s="88"/>
      <c r="B648" s="88"/>
      <c r="C648" s="88"/>
      <c r="D648" s="88"/>
      <c r="E648" s="88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88"/>
      <c r="AL648" s="88"/>
      <c r="AM648" s="88"/>
      <c r="AN648" s="88"/>
      <c r="AO648" s="88"/>
      <c r="AP648" s="88"/>
      <c r="AQ648" s="88"/>
      <c r="AR648" s="88"/>
      <c r="AS648" s="88"/>
      <c r="AT648" s="88"/>
      <c r="AU648" s="88"/>
      <c r="AV648" s="88"/>
      <c r="AW648" s="88"/>
      <c r="AX648" s="88"/>
      <c r="AY648" s="88"/>
      <c r="AZ648" s="88"/>
      <c r="BA648" s="88"/>
      <c r="BB648" s="88"/>
      <c r="BC648" s="88"/>
      <c r="BD648" s="88"/>
    </row>
    <row r="649" spans="1:56" ht="12.55" x14ac:dyDescent="0.2">
      <c r="A649" s="88"/>
      <c r="B649" s="88"/>
      <c r="C649" s="88"/>
      <c r="D649" s="88"/>
      <c r="E649" s="88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88"/>
      <c r="AL649" s="88"/>
      <c r="AM649" s="88"/>
      <c r="AN649" s="88"/>
      <c r="AO649" s="88"/>
      <c r="AP649" s="88"/>
      <c r="AQ649" s="88"/>
      <c r="AR649" s="88"/>
      <c r="AS649" s="88"/>
      <c r="AT649" s="88"/>
      <c r="AU649" s="88"/>
      <c r="AV649" s="88"/>
      <c r="AW649" s="88"/>
      <c r="AX649" s="88"/>
      <c r="AY649" s="88"/>
      <c r="AZ649" s="88"/>
      <c r="BA649" s="88"/>
      <c r="BB649" s="88"/>
      <c r="BC649" s="88"/>
      <c r="BD649" s="88"/>
    </row>
    <row r="650" spans="1:56" ht="12.55" x14ac:dyDescent="0.2">
      <c r="A650" s="88"/>
      <c r="B650" s="88"/>
      <c r="C650" s="88"/>
      <c r="D650" s="88"/>
      <c r="E650" s="88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88"/>
      <c r="AL650" s="88"/>
      <c r="AM650" s="88"/>
      <c r="AN650" s="88"/>
      <c r="AO650" s="88"/>
      <c r="AP650" s="88"/>
      <c r="AQ650" s="88"/>
      <c r="AR650" s="88"/>
      <c r="AS650" s="88"/>
      <c r="AT650" s="88"/>
      <c r="AU650" s="88"/>
      <c r="AV650" s="88"/>
      <c r="AW650" s="88"/>
      <c r="AX650" s="88"/>
      <c r="AY650" s="88"/>
      <c r="AZ650" s="88"/>
      <c r="BA650" s="88"/>
      <c r="BB650" s="88"/>
      <c r="BC650" s="88"/>
      <c r="BD650" s="88"/>
    </row>
    <row r="651" spans="1:56" ht="12.55" x14ac:dyDescent="0.2">
      <c r="A651" s="88"/>
      <c r="B651" s="88"/>
      <c r="C651" s="88"/>
      <c r="D651" s="88"/>
      <c r="E651" s="88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88"/>
      <c r="AL651" s="88"/>
      <c r="AM651" s="88"/>
      <c r="AN651" s="88"/>
      <c r="AO651" s="88"/>
      <c r="AP651" s="88"/>
      <c r="AQ651" s="88"/>
      <c r="AR651" s="88"/>
      <c r="AS651" s="88"/>
      <c r="AT651" s="88"/>
      <c r="AU651" s="88"/>
      <c r="AV651" s="88"/>
      <c r="AW651" s="88"/>
      <c r="AX651" s="88"/>
      <c r="AY651" s="88"/>
      <c r="AZ651" s="88"/>
      <c r="BA651" s="88"/>
      <c r="BB651" s="88"/>
      <c r="BC651" s="88"/>
      <c r="BD651" s="88"/>
    </row>
    <row r="652" spans="1:56" ht="12.55" x14ac:dyDescent="0.2">
      <c r="A652" s="88"/>
      <c r="B652" s="88"/>
      <c r="C652" s="88"/>
      <c r="D652" s="88"/>
      <c r="E652" s="88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88"/>
      <c r="AL652" s="88"/>
      <c r="AM652" s="88"/>
      <c r="AN652" s="88"/>
      <c r="AO652" s="88"/>
      <c r="AP652" s="88"/>
      <c r="AQ652" s="88"/>
      <c r="AR652" s="88"/>
      <c r="AS652" s="88"/>
      <c r="AT652" s="88"/>
      <c r="AU652" s="88"/>
      <c r="AV652" s="88"/>
      <c r="AW652" s="88"/>
      <c r="AX652" s="88"/>
      <c r="AY652" s="88"/>
      <c r="AZ652" s="88"/>
      <c r="BA652" s="88"/>
      <c r="BB652" s="88"/>
      <c r="BC652" s="88"/>
      <c r="BD652" s="88"/>
    </row>
    <row r="653" spans="1:56" ht="12.55" x14ac:dyDescent="0.2">
      <c r="A653" s="88"/>
      <c r="B653" s="88"/>
      <c r="C653" s="88"/>
      <c r="D653" s="88"/>
      <c r="E653" s="88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88"/>
      <c r="AL653" s="88"/>
      <c r="AM653" s="88"/>
      <c r="AN653" s="88"/>
      <c r="AO653" s="88"/>
      <c r="AP653" s="88"/>
      <c r="AQ653" s="88"/>
      <c r="AR653" s="88"/>
      <c r="AS653" s="88"/>
      <c r="AT653" s="88"/>
      <c r="AU653" s="88"/>
      <c r="AV653" s="88"/>
      <c r="AW653" s="88"/>
      <c r="AX653" s="88"/>
      <c r="AY653" s="88"/>
      <c r="AZ653" s="88"/>
      <c r="BA653" s="88"/>
      <c r="BB653" s="88"/>
      <c r="BC653" s="88"/>
      <c r="BD653" s="88"/>
    </row>
    <row r="654" spans="1:56" ht="12.55" x14ac:dyDescent="0.2">
      <c r="A654" s="88"/>
      <c r="B654" s="88"/>
      <c r="C654" s="88"/>
      <c r="D654" s="88"/>
      <c r="E654" s="88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88"/>
      <c r="AL654" s="88"/>
      <c r="AM654" s="88"/>
      <c r="AN654" s="88"/>
      <c r="AO654" s="88"/>
      <c r="AP654" s="88"/>
      <c r="AQ654" s="88"/>
      <c r="AR654" s="88"/>
      <c r="AS654" s="88"/>
      <c r="AT654" s="88"/>
      <c r="AU654" s="88"/>
      <c r="AV654" s="88"/>
      <c r="AW654" s="88"/>
      <c r="AX654" s="88"/>
      <c r="AY654" s="88"/>
      <c r="AZ654" s="88"/>
      <c r="BA654" s="88"/>
      <c r="BB654" s="88"/>
      <c r="BC654" s="88"/>
      <c r="BD654" s="88"/>
    </row>
    <row r="655" spans="1:56" ht="12.55" x14ac:dyDescent="0.2">
      <c r="A655" s="88"/>
      <c r="B655" s="88"/>
      <c r="C655" s="88"/>
      <c r="D655" s="88"/>
      <c r="E655" s="88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88"/>
      <c r="AL655" s="88"/>
      <c r="AM655" s="88"/>
      <c r="AN655" s="88"/>
      <c r="AO655" s="88"/>
      <c r="AP655" s="88"/>
      <c r="AQ655" s="88"/>
      <c r="AR655" s="88"/>
      <c r="AS655" s="88"/>
      <c r="AT655" s="88"/>
      <c r="AU655" s="88"/>
      <c r="AV655" s="88"/>
      <c r="AW655" s="88"/>
      <c r="AX655" s="88"/>
      <c r="AY655" s="88"/>
      <c r="AZ655" s="88"/>
      <c r="BA655" s="88"/>
      <c r="BB655" s="88"/>
      <c r="BC655" s="88"/>
      <c r="BD655" s="88"/>
    </row>
    <row r="656" spans="1:56" ht="12.55" x14ac:dyDescent="0.2">
      <c r="A656" s="88"/>
      <c r="B656" s="88"/>
      <c r="C656" s="88"/>
      <c r="D656" s="88"/>
      <c r="E656" s="88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88"/>
      <c r="AL656" s="88"/>
      <c r="AM656" s="88"/>
      <c r="AN656" s="88"/>
      <c r="AO656" s="88"/>
      <c r="AP656" s="88"/>
      <c r="AQ656" s="88"/>
      <c r="AR656" s="88"/>
      <c r="AS656" s="88"/>
      <c r="AT656" s="88"/>
      <c r="AU656" s="88"/>
      <c r="AV656" s="88"/>
      <c r="AW656" s="88"/>
      <c r="AX656" s="88"/>
      <c r="AY656" s="88"/>
      <c r="AZ656" s="88"/>
      <c r="BA656" s="88"/>
      <c r="BB656" s="88"/>
      <c r="BC656" s="88"/>
      <c r="BD656" s="88"/>
    </row>
    <row r="657" spans="1:56" ht="12.55" x14ac:dyDescent="0.2">
      <c r="A657" s="88"/>
      <c r="B657" s="88"/>
      <c r="C657" s="88"/>
      <c r="D657" s="88"/>
      <c r="E657" s="88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88"/>
      <c r="AL657" s="88"/>
      <c r="AM657" s="88"/>
      <c r="AN657" s="88"/>
      <c r="AO657" s="88"/>
      <c r="AP657" s="88"/>
      <c r="AQ657" s="88"/>
      <c r="AR657" s="88"/>
      <c r="AS657" s="88"/>
      <c r="AT657" s="88"/>
      <c r="AU657" s="88"/>
      <c r="AV657" s="88"/>
      <c r="AW657" s="88"/>
      <c r="AX657" s="88"/>
      <c r="AY657" s="88"/>
      <c r="AZ657" s="88"/>
      <c r="BA657" s="88"/>
      <c r="BB657" s="88"/>
      <c r="BC657" s="88"/>
      <c r="BD657" s="88"/>
    </row>
    <row r="658" spans="1:56" ht="12.55" x14ac:dyDescent="0.2">
      <c r="A658" s="88"/>
      <c r="B658" s="88"/>
      <c r="C658" s="88"/>
      <c r="D658" s="88"/>
      <c r="E658" s="88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88"/>
      <c r="AL658" s="88"/>
      <c r="AM658" s="88"/>
      <c r="AN658" s="88"/>
      <c r="AO658" s="88"/>
      <c r="AP658" s="88"/>
      <c r="AQ658" s="88"/>
      <c r="AR658" s="88"/>
      <c r="AS658" s="88"/>
      <c r="AT658" s="88"/>
      <c r="AU658" s="88"/>
      <c r="AV658" s="88"/>
      <c r="AW658" s="88"/>
      <c r="AX658" s="88"/>
      <c r="AY658" s="88"/>
      <c r="AZ658" s="88"/>
      <c r="BA658" s="88"/>
      <c r="BB658" s="88"/>
      <c r="BC658" s="88"/>
      <c r="BD658" s="88"/>
    </row>
    <row r="659" spans="1:56" ht="12.55" x14ac:dyDescent="0.2">
      <c r="A659" s="88"/>
      <c r="B659" s="88"/>
      <c r="C659" s="88"/>
      <c r="D659" s="88"/>
      <c r="E659" s="88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88"/>
      <c r="AL659" s="88"/>
      <c r="AM659" s="88"/>
      <c r="AN659" s="88"/>
      <c r="AO659" s="88"/>
      <c r="AP659" s="88"/>
      <c r="AQ659" s="88"/>
      <c r="AR659" s="88"/>
      <c r="AS659" s="88"/>
      <c r="AT659" s="88"/>
      <c r="AU659" s="88"/>
      <c r="AV659" s="88"/>
      <c r="AW659" s="88"/>
      <c r="AX659" s="88"/>
      <c r="AY659" s="88"/>
      <c r="AZ659" s="88"/>
      <c r="BA659" s="88"/>
      <c r="BB659" s="88"/>
      <c r="BC659" s="88"/>
      <c r="BD659" s="88"/>
    </row>
    <row r="660" spans="1:56" ht="12.55" x14ac:dyDescent="0.2">
      <c r="A660" s="88"/>
      <c r="B660" s="88"/>
      <c r="C660" s="88"/>
      <c r="D660" s="88"/>
      <c r="E660" s="88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88"/>
      <c r="AL660" s="88"/>
      <c r="AM660" s="88"/>
      <c r="AN660" s="88"/>
      <c r="AO660" s="88"/>
      <c r="AP660" s="88"/>
      <c r="AQ660" s="88"/>
      <c r="AR660" s="88"/>
      <c r="AS660" s="88"/>
      <c r="AT660" s="88"/>
      <c r="AU660" s="88"/>
      <c r="AV660" s="88"/>
      <c r="AW660" s="88"/>
      <c r="AX660" s="88"/>
      <c r="AY660" s="88"/>
      <c r="AZ660" s="88"/>
      <c r="BA660" s="88"/>
      <c r="BB660" s="88"/>
      <c r="BC660" s="88"/>
      <c r="BD660" s="88"/>
    </row>
    <row r="661" spans="1:56" ht="12.55" x14ac:dyDescent="0.2">
      <c r="A661" s="88"/>
      <c r="B661" s="88"/>
      <c r="C661" s="88"/>
      <c r="D661" s="88"/>
      <c r="E661" s="88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88"/>
      <c r="AL661" s="88"/>
      <c r="AM661" s="88"/>
      <c r="AN661" s="88"/>
      <c r="AO661" s="88"/>
      <c r="AP661" s="88"/>
      <c r="AQ661" s="88"/>
      <c r="AR661" s="88"/>
      <c r="AS661" s="88"/>
      <c r="AT661" s="88"/>
      <c r="AU661" s="88"/>
      <c r="AV661" s="88"/>
      <c r="AW661" s="88"/>
      <c r="AX661" s="88"/>
      <c r="AY661" s="88"/>
      <c r="AZ661" s="88"/>
      <c r="BA661" s="88"/>
      <c r="BB661" s="88"/>
      <c r="BC661" s="88"/>
      <c r="BD661" s="88"/>
    </row>
    <row r="662" spans="1:56" ht="12.55" x14ac:dyDescent="0.2">
      <c r="A662" s="88"/>
      <c r="B662" s="88"/>
      <c r="C662" s="88"/>
      <c r="D662" s="88"/>
      <c r="E662" s="88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88"/>
      <c r="AL662" s="88"/>
      <c r="AM662" s="88"/>
      <c r="AN662" s="88"/>
      <c r="AO662" s="88"/>
      <c r="AP662" s="88"/>
      <c r="AQ662" s="88"/>
      <c r="AR662" s="88"/>
      <c r="AS662" s="88"/>
      <c r="AT662" s="88"/>
      <c r="AU662" s="88"/>
      <c r="AV662" s="88"/>
      <c r="AW662" s="88"/>
      <c r="AX662" s="88"/>
      <c r="AY662" s="88"/>
      <c r="AZ662" s="88"/>
      <c r="BA662" s="88"/>
      <c r="BB662" s="88"/>
      <c r="BC662" s="88"/>
      <c r="BD662" s="88"/>
    </row>
    <row r="663" spans="1:56" ht="12.55" x14ac:dyDescent="0.2">
      <c r="A663" s="88"/>
      <c r="B663" s="88"/>
      <c r="C663" s="88"/>
      <c r="D663" s="88"/>
      <c r="E663" s="88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88"/>
      <c r="AL663" s="88"/>
      <c r="AM663" s="88"/>
      <c r="AN663" s="88"/>
      <c r="AO663" s="88"/>
      <c r="AP663" s="88"/>
      <c r="AQ663" s="88"/>
      <c r="AR663" s="88"/>
      <c r="AS663" s="88"/>
      <c r="AT663" s="88"/>
      <c r="AU663" s="88"/>
      <c r="AV663" s="88"/>
      <c r="AW663" s="88"/>
      <c r="AX663" s="88"/>
      <c r="AY663" s="88"/>
      <c r="AZ663" s="88"/>
      <c r="BA663" s="88"/>
      <c r="BB663" s="88"/>
      <c r="BC663" s="88"/>
      <c r="BD663" s="88"/>
    </row>
    <row r="664" spans="1:56" ht="12.55" x14ac:dyDescent="0.2">
      <c r="A664" s="88"/>
      <c r="B664" s="88"/>
      <c r="C664" s="88"/>
      <c r="D664" s="88"/>
      <c r="E664" s="88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88"/>
      <c r="AL664" s="88"/>
      <c r="AM664" s="88"/>
      <c r="AN664" s="88"/>
      <c r="AO664" s="88"/>
      <c r="AP664" s="88"/>
      <c r="AQ664" s="88"/>
      <c r="AR664" s="88"/>
      <c r="AS664" s="88"/>
      <c r="AT664" s="88"/>
      <c r="AU664" s="88"/>
      <c r="AV664" s="88"/>
      <c r="AW664" s="88"/>
      <c r="AX664" s="88"/>
      <c r="AY664" s="88"/>
      <c r="AZ664" s="88"/>
      <c r="BA664" s="88"/>
      <c r="BB664" s="88"/>
      <c r="BC664" s="88"/>
      <c r="BD664" s="88"/>
    </row>
    <row r="665" spans="1:56" ht="12.55" x14ac:dyDescent="0.2">
      <c r="A665" s="88"/>
      <c r="B665" s="88"/>
      <c r="C665" s="88"/>
      <c r="D665" s="88"/>
      <c r="E665" s="88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88"/>
      <c r="AL665" s="88"/>
      <c r="AM665" s="88"/>
      <c r="AN665" s="88"/>
      <c r="AO665" s="88"/>
      <c r="AP665" s="88"/>
      <c r="AQ665" s="88"/>
      <c r="AR665" s="88"/>
      <c r="AS665" s="88"/>
      <c r="AT665" s="88"/>
      <c r="AU665" s="88"/>
      <c r="AV665" s="88"/>
      <c r="AW665" s="88"/>
      <c r="AX665" s="88"/>
      <c r="AY665" s="88"/>
      <c r="AZ665" s="88"/>
      <c r="BA665" s="88"/>
      <c r="BB665" s="88"/>
      <c r="BC665" s="88"/>
      <c r="BD665" s="88"/>
    </row>
    <row r="666" spans="1:56" ht="12.55" x14ac:dyDescent="0.2">
      <c r="A666" s="88"/>
      <c r="B666" s="88"/>
      <c r="C666" s="88"/>
      <c r="D666" s="88"/>
      <c r="E666" s="88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88"/>
      <c r="AL666" s="88"/>
      <c r="AM666" s="88"/>
      <c r="AN666" s="88"/>
      <c r="AO666" s="88"/>
      <c r="AP666" s="88"/>
      <c r="AQ666" s="88"/>
      <c r="AR666" s="88"/>
      <c r="AS666" s="88"/>
      <c r="AT666" s="88"/>
      <c r="AU666" s="88"/>
      <c r="AV666" s="88"/>
      <c r="AW666" s="88"/>
      <c r="AX666" s="88"/>
      <c r="AY666" s="88"/>
      <c r="AZ666" s="88"/>
      <c r="BA666" s="88"/>
      <c r="BB666" s="88"/>
      <c r="BC666" s="88"/>
      <c r="BD666" s="88"/>
    </row>
    <row r="667" spans="1:56" ht="12.55" x14ac:dyDescent="0.2">
      <c r="A667" s="88"/>
      <c r="B667" s="88"/>
      <c r="C667" s="88"/>
      <c r="D667" s="88"/>
      <c r="E667" s="88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88"/>
      <c r="AL667" s="88"/>
      <c r="AM667" s="88"/>
      <c r="AN667" s="88"/>
      <c r="AO667" s="88"/>
      <c r="AP667" s="88"/>
      <c r="AQ667" s="88"/>
      <c r="AR667" s="88"/>
      <c r="AS667" s="88"/>
      <c r="AT667" s="88"/>
      <c r="AU667" s="88"/>
      <c r="AV667" s="88"/>
      <c r="AW667" s="88"/>
      <c r="AX667" s="88"/>
      <c r="AY667" s="88"/>
      <c r="AZ667" s="88"/>
      <c r="BA667" s="88"/>
      <c r="BB667" s="88"/>
      <c r="BC667" s="88"/>
      <c r="BD667" s="88"/>
    </row>
    <row r="668" spans="1:56" ht="12.55" x14ac:dyDescent="0.2">
      <c r="A668" s="88"/>
      <c r="B668" s="88"/>
      <c r="C668" s="88"/>
      <c r="D668" s="88"/>
      <c r="E668" s="88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88"/>
      <c r="AL668" s="88"/>
      <c r="AM668" s="88"/>
      <c r="AN668" s="88"/>
      <c r="AO668" s="88"/>
      <c r="AP668" s="88"/>
      <c r="AQ668" s="88"/>
      <c r="AR668" s="88"/>
      <c r="AS668" s="88"/>
      <c r="AT668" s="88"/>
      <c r="AU668" s="88"/>
      <c r="AV668" s="88"/>
      <c r="AW668" s="88"/>
      <c r="AX668" s="88"/>
      <c r="AY668" s="88"/>
      <c r="AZ668" s="88"/>
      <c r="BA668" s="88"/>
      <c r="BB668" s="88"/>
      <c r="BC668" s="88"/>
      <c r="BD668" s="88"/>
    </row>
    <row r="669" spans="1:56" ht="12.55" x14ac:dyDescent="0.2">
      <c r="A669" s="88"/>
      <c r="B669" s="88"/>
      <c r="C669" s="88"/>
      <c r="D669" s="88"/>
      <c r="E669" s="88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88"/>
      <c r="AL669" s="88"/>
      <c r="AM669" s="88"/>
      <c r="AN669" s="88"/>
      <c r="AO669" s="88"/>
      <c r="AP669" s="88"/>
      <c r="AQ669" s="88"/>
      <c r="AR669" s="88"/>
      <c r="AS669" s="88"/>
      <c r="AT669" s="88"/>
      <c r="AU669" s="88"/>
      <c r="AV669" s="88"/>
      <c r="AW669" s="88"/>
      <c r="AX669" s="88"/>
      <c r="AY669" s="88"/>
      <c r="AZ669" s="88"/>
      <c r="BA669" s="88"/>
      <c r="BB669" s="88"/>
      <c r="BC669" s="88"/>
      <c r="BD669" s="88"/>
    </row>
    <row r="670" spans="1:56" ht="12.55" x14ac:dyDescent="0.2">
      <c r="A670" s="88"/>
      <c r="B670" s="88"/>
      <c r="C670" s="88"/>
      <c r="D670" s="88"/>
      <c r="E670" s="88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88"/>
      <c r="AL670" s="88"/>
      <c r="AM670" s="88"/>
      <c r="AN670" s="88"/>
      <c r="AO670" s="88"/>
      <c r="AP670" s="88"/>
      <c r="AQ670" s="88"/>
      <c r="AR670" s="88"/>
      <c r="AS670" s="88"/>
      <c r="AT670" s="88"/>
      <c r="AU670" s="88"/>
      <c r="AV670" s="88"/>
      <c r="AW670" s="88"/>
      <c r="AX670" s="88"/>
      <c r="AY670" s="88"/>
      <c r="AZ670" s="88"/>
      <c r="BA670" s="88"/>
      <c r="BB670" s="88"/>
      <c r="BC670" s="88"/>
      <c r="BD670" s="88"/>
    </row>
    <row r="671" spans="1:56" ht="12.55" x14ac:dyDescent="0.2">
      <c r="A671" s="88"/>
      <c r="B671" s="88"/>
      <c r="C671" s="88"/>
      <c r="D671" s="88"/>
      <c r="E671" s="88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88"/>
      <c r="AL671" s="88"/>
      <c r="AM671" s="88"/>
      <c r="AN671" s="88"/>
      <c r="AO671" s="88"/>
      <c r="AP671" s="88"/>
      <c r="AQ671" s="88"/>
      <c r="AR671" s="88"/>
      <c r="AS671" s="88"/>
      <c r="AT671" s="88"/>
      <c r="AU671" s="88"/>
      <c r="AV671" s="88"/>
      <c r="AW671" s="88"/>
      <c r="AX671" s="88"/>
      <c r="AY671" s="88"/>
      <c r="AZ671" s="88"/>
      <c r="BA671" s="88"/>
      <c r="BB671" s="88"/>
      <c r="BC671" s="88"/>
      <c r="BD671" s="88"/>
    </row>
    <row r="672" spans="1:56" ht="12.55" x14ac:dyDescent="0.2">
      <c r="A672" s="88"/>
      <c r="B672" s="88"/>
      <c r="C672" s="88"/>
      <c r="D672" s="88"/>
      <c r="E672" s="88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88"/>
      <c r="AL672" s="88"/>
      <c r="AM672" s="88"/>
      <c r="AN672" s="88"/>
      <c r="AO672" s="88"/>
      <c r="AP672" s="88"/>
      <c r="AQ672" s="88"/>
      <c r="AR672" s="88"/>
      <c r="AS672" s="88"/>
      <c r="AT672" s="88"/>
      <c r="AU672" s="88"/>
      <c r="AV672" s="88"/>
      <c r="AW672" s="88"/>
      <c r="AX672" s="88"/>
      <c r="AY672" s="88"/>
      <c r="AZ672" s="88"/>
      <c r="BA672" s="88"/>
      <c r="BB672" s="88"/>
      <c r="BC672" s="88"/>
      <c r="BD672" s="88"/>
    </row>
    <row r="673" spans="1:56" ht="12.55" x14ac:dyDescent="0.2">
      <c r="A673" s="88"/>
      <c r="B673" s="88"/>
      <c r="C673" s="88"/>
      <c r="D673" s="88"/>
      <c r="E673" s="88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88"/>
      <c r="AL673" s="88"/>
      <c r="AM673" s="88"/>
      <c r="AN673" s="88"/>
      <c r="AO673" s="88"/>
      <c r="AP673" s="88"/>
      <c r="AQ673" s="88"/>
      <c r="AR673" s="88"/>
      <c r="AS673" s="88"/>
      <c r="AT673" s="88"/>
      <c r="AU673" s="88"/>
      <c r="AV673" s="88"/>
      <c r="AW673" s="88"/>
      <c r="AX673" s="88"/>
      <c r="AY673" s="88"/>
      <c r="AZ673" s="88"/>
      <c r="BA673" s="88"/>
      <c r="BB673" s="88"/>
      <c r="BC673" s="88"/>
      <c r="BD673" s="88"/>
    </row>
    <row r="674" spans="1:56" ht="12.55" x14ac:dyDescent="0.2">
      <c r="A674" s="88"/>
      <c r="B674" s="88"/>
      <c r="C674" s="88"/>
      <c r="D674" s="88"/>
      <c r="E674" s="88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88"/>
      <c r="AL674" s="88"/>
      <c r="AM674" s="88"/>
      <c r="AN674" s="88"/>
      <c r="AO674" s="88"/>
      <c r="AP674" s="88"/>
      <c r="AQ674" s="88"/>
      <c r="AR674" s="88"/>
      <c r="AS674" s="88"/>
      <c r="AT674" s="88"/>
      <c r="AU674" s="88"/>
      <c r="AV674" s="88"/>
      <c r="AW674" s="88"/>
      <c r="AX674" s="88"/>
      <c r="AY674" s="88"/>
      <c r="AZ674" s="88"/>
      <c r="BA674" s="88"/>
      <c r="BB674" s="88"/>
      <c r="BC674" s="88"/>
      <c r="BD674" s="88"/>
    </row>
    <row r="675" spans="1:56" ht="12.55" x14ac:dyDescent="0.2">
      <c r="A675" s="88"/>
      <c r="B675" s="88"/>
      <c r="C675" s="88"/>
      <c r="D675" s="88"/>
      <c r="E675" s="88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88"/>
      <c r="AL675" s="88"/>
      <c r="AM675" s="88"/>
      <c r="AN675" s="88"/>
      <c r="AO675" s="88"/>
      <c r="AP675" s="88"/>
      <c r="AQ675" s="88"/>
      <c r="AR675" s="88"/>
      <c r="AS675" s="88"/>
      <c r="AT675" s="88"/>
      <c r="AU675" s="88"/>
      <c r="AV675" s="88"/>
      <c r="AW675" s="88"/>
      <c r="AX675" s="88"/>
      <c r="AY675" s="88"/>
      <c r="AZ675" s="88"/>
      <c r="BA675" s="88"/>
      <c r="BB675" s="88"/>
      <c r="BC675" s="88"/>
      <c r="BD675" s="88"/>
    </row>
    <row r="676" spans="1:56" ht="12.55" x14ac:dyDescent="0.2">
      <c r="A676" s="88"/>
      <c r="B676" s="88"/>
      <c r="C676" s="88"/>
      <c r="D676" s="88"/>
      <c r="E676" s="88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88"/>
      <c r="AL676" s="88"/>
      <c r="AM676" s="88"/>
      <c r="AN676" s="88"/>
      <c r="AO676" s="88"/>
      <c r="AP676" s="88"/>
      <c r="AQ676" s="88"/>
      <c r="AR676" s="88"/>
      <c r="AS676" s="88"/>
      <c r="AT676" s="88"/>
      <c r="AU676" s="88"/>
      <c r="AV676" s="88"/>
      <c r="AW676" s="88"/>
      <c r="AX676" s="88"/>
      <c r="AY676" s="88"/>
      <c r="AZ676" s="88"/>
      <c r="BA676" s="88"/>
      <c r="BB676" s="88"/>
      <c r="BC676" s="88"/>
      <c r="BD676" s="88"/>
    </row>
    <row r="677" spans="1:56" ht="12.55" x14ac:dyDescent="0.2">
      <c r="A677" s="88"/>
      <c r="B677" s="88"/>
      <c r="C677" s="88"/>
      <c r="D677" s="88"/>
      <c r="E677" s="88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88"/>
      <c r="AL677" s="88"/>
      <c r="AM677" s="88"/>
      <c r="AN677" s="88"/>
      <c r="AO677" s="88"/>
      <c r="AP677" s="88"/>
      <c r="AQ677" s="88"/>
      <c r="AR677" s="88"/>
      <c r="AS677" s="88"/>
      <c r="AT677" s="88"/>
      <c r="AU677" s="88"/>
      <c r="AV677" s="88"/>
      <c r="AW677" s="88"/>
      <c r="AX677" s="88"/>
      <c r="AY677" s="88"/>
      <c r="AZ677" s="88"/>
      <c r="BA677" s="88"/>
      <c r="BB677" s="88"/>
      <c r="BC677" s="88"/>
      <c r="BD677" s="88"/>
    </row>
    <row r="678" spans="1:56" ht="12.55" x14ac:dyDescent="0.2">
      <c r="A678" s="88"/>
      <c r="B678" s="88"/>
      <c r="C678" s="88"/>
      <c r="D678" s="88"/>
      <c r="E678" s="88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88"/>
      <c r="AL678" s="88"/>
      <c r="AM678" s="88"/>
      <c r="AN678" s="88"/>
      <c r="AO678" s="88"/>
      <c r="AP678" s="88"/>
      <c r="AQ678" s="88"/>
      <c r="AR678" s="88"/>
      <c r="AS678" s="88"/>
      <c r="AT678" s="88"/>
      <c r="AU678" s="88"/>
      <c r="AV678" s="88"/>
      <c r="AW678" s="88"/>
      <c r="AX678" s="88"/>
      <c r="AY678" s="88"/>
      <c r="AZ678" s="88"/>
      <c r="BA678" s="88"/>
      <c r="BB678" s="88"/>
      <c r="BC678" s="88"/>
      <c r="BD678" s="88"/>
    </row>
    <row r="679" spans="1:56" ht="12.55" x14ac:dyDescent="0.2">
      <c r="A679" s="88"/>
      <c r="B679" s="88"/>
      <c r="C679" s="88"/>
      <c r="D679" s="88"/>
      <c r="E679" s="88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88"/>
      <c r="AL679" s="88"/>
      <c r="AM679" s="88"/>
      <c r="AN679" s="88"/>
      <c r="AO679" s="88"/>
      <c r="AP679" s="88"/>
      <c r="AQ679" s="88"/>
      <c r="AR679" s="88"/>
      <c r="AS679" s="88"/>
      <c r="AT679" s="88"/>
      <c r="AU679" s="88"/>
      <c r="AV679" s="88"/>
      <c r="AW679" s="88"/>
      <c r="AX679" s="88"/>
      <c r="AY679" s="88"/>
      <c r="AZ679" s="88"/>
      <c r="BA679" s="88"/>
      <c r="BB679" s="88"/>
      <c r="BC679" s="88"/>
      <c r="BD679" s="88"/>
    </row>
    <row r="680" spans="1:56" ht="12.55" x14ac:dyDescent="0.2">
      <c r="A680" s="88"/>
      <c r="B680" s="88"/>
      <c r="C680" s="88"/>
      <c r="D680" s="88"/>
      <c r="E680" s="88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88"/>
      <c r="AL680" s="88"/>
      <c r="AM680" s="88"/>
      <c r="AN680" s="88"/>
      <c r="AO680" s="88"/>
      <c r="AP680" s="88"/>
      <c r="AQ680" s="88"/>
      <c r="AR680" s="88"/>
      <c r="AS680" s="88"/>
      <c r="AT680" s="88"/>
      <c r="AU680" s="88"/>
      <c r="AV680" s="88"/>
      <c r="AW680" s="88"/>
      <c r="AX680" s="88"/>
      <c r="AY680" s="88"/>
      <c r="AZ680" s="88"/>
      <c r="BA680" s="88"/>
      <c r="BB680" s="88"/>
      <c r="BC680" s="88"/>
      <c r="BD680" s="88"/>
    </row>
    <row r="681" spans="1:56" ht="12.55" x14ac:dyDescent="0.2">
      <c r="A681" s="88"/>
      <c r="B681" s="88"/>
      <c r="C681" s="88"/>
      <c r="D681" s="88"/>
      <c r="E681" s="88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88"/>
      <c r="AL681" s="88"/>
      <c r="AM681" s="88"/>
      <c r="AN681" s="88"/>
      <c r="AO681" s="88"/>
      <c r="AP681" s="88"/>
      <c r="AQ681" s="88"/>
      <c r="AR681" s="88"/>
      <c r="AS681" s="88"/>
      <c r="AT681" s="88"/>
      <c r="AU681" s="88"/>
      <c r="AV681" s="88"/>
      <c r="AW681" s="88"/>
      <c r="AX681" s="88"/>
      <c r="AY681" s="88"/>
      <c r="AZ681" s="88"/>
      <c r="BA681" s="88"/>
      <c r="BB681" s="88"/>
      <c r="BC681" s="88"/>
      <c r="BD681" s="88"/>
    </row>
    <row r="682" spans="1:56" ht="12.55" x14ac:dyDescent="0.2">
      <c r="A682" s="88"/>
      <c r="B682" s="88"/>
      <c r="C682" s="88"/>
      <c r="D682" s="88"/>
      <c r="E682" s="88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88"/>
      <c r="AL682" s="88"/>
      <c r="AM682" s="88"/>
      <c r="AN682" s="88"/>
      <c r="AO682" s="88"/>
      <c r="AP682" s="88"/>
      <c r="AQ682" s="88"/>
      <c r="AR682" s="88"/>
      <c r="AS682" s="88"/>
      <c r="AT682" s="88"/>
      <c r="AU682" s="88"/>
      <c r="AV682" s="88"/>
      <c r="AW682" s="88"/>
      <c r="AX682" s="88"/>
      <c r="AY682" s="88"/>
      <c r="AZ682" s="88"/>
      <c r="BA682" s="88"/>
      <c r="BB682" s="88"/>
      <c r="BC682" s="88"/>
      <c r="BD682" s="88"/>
    </row>
    <row r="683" spans="1:56" ht="12.55" x14ac:dyDescent="0.2">
      <c r="A683" s="88"/>
      <c r="B683" s="88"/>
      <c r="C683" s="88"/>
      <c r="D683" s="88"/>
      <c r="E683" s="88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88"/>
      <c r="AL683" s="88"/>
      <c r="AM683" s="88"/>
      <c r="AN683" s="88"/>
      <c r="AO683" s="88"/>
      <c r="AP683" s="88"/>
      <c r="AQ683" s="88"/>
      <c r="AR683" s="88"/>
      <c r="AS683" s="88"/>
      <c r="AT683" s="88"/>
      <c r="AU683" s="88"/>
      <c r="AV683" s="88"/>
      <c r="AW683" s="88"/>
      <c r="AX683" s="88"/>
      <c r="AY683" s="88"/>
      <c r="AZ683" s="88"/>
      <c r="BA683" s="88"/>
      <c r="BB683" s="88"/>
      <c r="BC683" s="88"/>
      <c r="BD683" s="88"/>
    </row>
    <row r="684" spans="1:56" ht="12.55" x14ac:dyDescent="0.2">
      <c r="A684" s="88"/>
      <c r="B684" s="88"/>
      <c r="C684" s="88"/>
      <c r="D684" s="88"/>
      <c r="E684" s="88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88"/>
      <c r="AL684" s="88"/>
      <c r="AM684" s="88"/>
      <c r="AN684" s="88"/>
      <c r="AO684" s="88"/>
      <c r="AP684" s="88"/>
      <c r="AQ684" s="88"/>
      <c r="AR684" s="88"/>
      <c r="AS684" s="88"/>
      <c r="AT684" s="88"/>
      <c r="AU684" s="88"/>
      <c r="AV684" s="88"/>
      <c r="AW684" s="88"/>
      <c r="AX684" s="88"/>
      <c r="AY684" s="88"/>
      <c r="AZ684" s="88"/>
      <c r="BA684" s="88"/>
      <c r="BB684" s="88"/>
      <c r="BC684" s="88"/>
      <c r="BD684" s="88"/>
    </row>
    <row r="685" spans="1:56" ht="12.55" x14ac:dyDescent="0.2">
      <c r="A685" s="88"/>
      <c r="B685" s="88"/>
      <c r="C685" s="88"/>
      <c r="D685" s="88"/>
      <c r="E685" s="88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88"/>
      <c r="AL685" s="88"/>
      <c r="AM685" s="88"/>
      <c r="AN685" s="88"/>
      <c r="AO685" s="88"/>
      <c r="AP685" s="88"/>
      <c r="AQ685" s="88"/>
      <c r="AR685" s="88"/>
      <c r="AS685" s="88"/>
      <c r="AT685" s="88"/>
      <c r="AU685" s="88"/>
      <c r="AV685" s="88"/>
      <c r="AW685" s="88"/>
      <c r="AX685" s="88"/>
      <c r="AY685" s="88"/>
      <c r="AZ685" s="88"/>
      <c r="BA685" s="88"/>
      <c r="BB685" s="88"/>
      <c r="BC685" s="88"/>
      <c r="BD685" s="88"/>
    </row>
    <row r="686" spans="1:56" ht="12.55" x14ac:dyDescent="0.2">
      <c r="A686" s="88"/>
      <c r="B686" s="88"/>
      <c r="C686" s="88"/>
      <c r="D686" s="88"/>
      <c r="E686" s="88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88"/>
      <c r="AL686" s="88"/>
      <c r="AM686" s="88"/>
      <c r="AN686" s="88"/>
      <c r="AO686" s="88"/>
      <c r="AP686" s="88"/>
      <c r="AQ686" s="88"/>
      <c r="AR686" s="88"/>
      <c r="AS686" s="88"/>
      <c r="AT686" s="88"/>
      <c r="AU686" s="88"/>
      <c r="AV686" s="88"/>
      <c r="AW686" s="88"/>
      <c r="AX686" s="88"/>
      <c r="AY686" s="88"/>
      <c r="AZ686" s="88"/>
      <c r="BA686" s="88"/>
      <c r="BB686" s="88"/>
      <c r="BC686" s="88"/>
      <c r="BD686" s="88"/>
    </row>
    <row r="687" spans="1:56" ht="12.55" x14ac:dyDescent="0.2">
      <c r="A687" s="88"/>
      <c r="B687" s="88"/>
      <c r="C687" s="88"/>
      <c r="D687" s="88"/>
      <c r="E687" s="88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88"/>
      <c r="AL687" s="88"/>
      <c r="AM687" s="88"/>
      <c r="AN687" s="88"/>
      <c r="AO687" s="88"/>
      <c r="AP687" s="88"/>
      <c r="AQ687" s="88"/>
      <c r="AR687" s="88"/>
      <c r="AS687" s="88"/>
      <c r="AT687" s="88"/>
      <c r="AU687" s="88"/>
      <c r="AV687" s="88"/>
      <c r="AW687" s="88"/>
      <c r="AX687" s="88"/>
      <c r="AY687" s="88"/>
      <c r="AZ687" s="88"/>
      <c r="BA687" s="88"/>
      <c r="BB687" s="88"/>
      <c r="BC687" s="88"/>
      <c r="BD687" s="88"/>
    </row>
    <row r="688" spans="1:56" ht="12.55" x14ac:dyDescent="0.2">
      <c r="A688" s="88"/>
      <c r="B688" s="88"/>
      <c r="C688" s="88"/>
      <c r="D688" s="88"/>
      <c r="E688" s="88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88"/>
      <c r="AL688" s="88"/>
      <c r="AM688" s="88"/>
      <c r="AN688" s="88"/>
      <c r="AO688" s="88"/>
      <c r="AP688" s="88"/>
      <c r="AQ688" s="88"/>
      <c r="AR688" s="88"/>
      <c r="AS688" s="88"/>
      <c r="AT688" s="88"/>
      <c r="AU688" s="88"/>
      <c r="AV688" s="88"/>
      <c r="AW688" s="88"/>
      <c r="AX688" s="88"/>
      <c r="AY688" s="88"/>
      <c r="AZ688" s="88"/>
      <c r="BA688" s="88"/>
      <c r="BB688" s="88"/>
      <c r="BC688" s="88"/>
      <c r="BD688" s="88"/>
    </row>
    <row r="689" spans="1:56" ht="12.55" x14ac:dyDescent="0.2">
      <c r="A689" s="88"/>
      <c r="B689" s="88"/>
      <c r="C689" s="88"/>
      <c r="D689" s="88"/>
      <c r="E689" s="88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88"/>
      <c r="AL689" s="88"/>
      <c r="AM689" s="88"/>
      <c r="AN689" s="88"/>
      <c r="AO689" s="88"/>
      <c r="AP689" s="88"/>
      <c r="AQ689" s="88"/>
      <c r="AR689" s="88"/>
      <c r="AS689" s="88"/>
      <c r="AT689" s="88"/>
      <c r="AU689" s="88"/>
      <c r="AV689" s="88"/>
      <c r="AW689" s="88"/>
      <c r="AX689" s="88"/>
      <c r="AY689" s="88"/>
      <c r="AZ689" s="88"/>
      <c r="BA689" s="88"/>
      <c r="BB689" s="88"/>
      <c r="BC689" s="88"/>
      <c r="BD689" s="88"/>
    </row>
    <row r="690" spans="1:56" ht="12.55" x14ac:dyDescent="0.2">
      <c r="A690" s="88"/>
      <c r="B690" s="88"/>
      <c r="C690" s="88"/>
      <c r="D690" s="88"/>
      <c r="E690" s="88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88"/>
      <c r="AL690" s="88"/>
      <c r="AM690" s="88"/>
      <c r="AN690" s="88"/>
      <c r="AO690" s="88"/>
      <c r="AP690" s="88"/>
      <c r="AQ690" s="88"/>
      <c r="AR690" s="88"/>
      <c r="AS690" s="88"/>
      <c r="AT690" s="88"/>
      <c r="AU690" s="88"/>
      <c r="AV690" s="88"/>
      <c r="AW690" s="88"/>
      <c r="AX690" s="88"/>
      <c r="AY690" s="88"/>
      <c r="AZ690" s="88"/>
      <c r="BA690" s="88"/>
      <c r="BB690" s="88"/>
      <c r="BC690" s="88"/>
      <c r="BD690" s="88"/>
    </row>
    <row r="691" spans="1:56" ht="12.55" x14ac:dyDescent="0.2">
      <c r="A691" s="88"/>
      <c r="B691" s="88"/>
      <c r="C691" s="88"/>
      <c r="D691" s="88"/>
      <c r="E691" s="88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88"/>
      <c r="AL691" s="88"/>
      <c r="AM691" s="88"/>
      <c r="AN691" s="88"/>
      <c r="AO691" s="88"/>
      <c r="AP691" s="88"/>
      <c r="AQ691" s="88"/>
      <c r="AR691" s="88"/>
      <c r="AS691" s="88"/>
      <c r="AT691" s="88"/>
      <c r="AU691" s="88"/>
      <c r="AV691" s="88"/>
      <c r="AW691" s="88"/>
      <c r="AX691" s="88"/>
      <c r="AY691" s="88"/>
      <c r="AZ691" s="88"/>
      <c r="BA691" s="88"/>
      <c r="BB691" s="88"/>
      <c r="BC691" s="88"/>
      <c r="BD691" s="88"/>
    </row>
    <row r="692" spans="1:56" ht="12.55" x14ac:dyDescent="0.2">
      <c r="A692" s="88"/>
      <c r="B692" s="88"/>
      <c r="C692" s="88"/>
      <c r="D692" s="88"/>
      <c r="E692" s="88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88"/>
      <c r="AL692" s="88"/>
      <c r="AM692" s="88"/>
      <c r="AN692" s="88"/>
      <c r="AO692" s="88"/>
      <c r="AP692" s="88"/>
      <c r="AQ692" s="88"/>
      <c r="AR692" s="88"/>
      <c r="AS692" s="88"/>
      <c r="AT692" s="88"/>
      <c r="AU692" s="88"/>
      <c r="AV692" s="88"/>
      <c r="AW692" s="88"/>
      <c r="AX692" s="88"/>
      <c r="AY692" s="88"/>
      <c r="AZ692" s="88"/>
      <c r="BA692" s="88"/>
      <c r="BB692" s="88"/>
      <c r="BC692" s="88"/>
      <c r="BD692" s="88"/>
    </row>
    <row r="693" spans="1:56" ht="12.55" x14ac:dyDescent="0.2">
      <c r="A693" s="88"/>
      <c r="B693" s="88"/>
      <c r="C693" s="88"/>
      <c r="D693" s="88"/>
      <c r="E693" s="88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88"/>
      <c r="AL693" s="88"/>
      <c r="AM693" s="88"/>
      <c r="AN693" s="88"/>
      <c r="AO693" s="88"/>
      <c r="AP693" s="88"/>
      <c r="AQ693" s="88"/>
      <c r="AR693" s="88"/>
      <c r="AS693" s="88"/>
      <c r="AT693" s="88"/>
      <c r="AU693" s="88"/>
      <c r="AV693" s="88"/>
      <c r="AW693" s="88"/>
      <c r="AX693" s="88"/>
      <c r="AY693" s="88"/>
      <c r="AZ693" s="88"/>
      <c r="BA693" s="88"/>
      <c r="BB693" s="88"/>
      <c r="BC693" s="88"/>
      <c r="BD693" s="88"/>
    </row>
    <row r="694" spans="1:56" ht="12.55" x14ac:dyDescent="0.2">
      <c r="A694" s="88"/>
      <c r="B694" s="88"/>
      <c r="C694" s="88"/>
      <c r="D694" s="88"/>
      <c r="E694" s="88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88"/>
      <c r="AL694" s="88"/>
      <c r="AM694" s="88"/>
      <c r="AN694" s="88"/>
      <c r="AO694" s="88"/>
      <c r="AP694" s="88"/>
      <c r="AQ694" s="88"/>
      <c r="AR694" s="88"/>
      <c r="AS694" s="88"/>
      <c r="AT694" s="88"/>
      <c r="AU694" s="88"/>
      <c r="AV694" s="88"/>
      <c r="AW694" s="88"/>
      <c r="AX694" s="88"/>
      <c r="AY694" s="88"/>
      <c r="AZ694" s="88"/>
      <c r="BA694" s="88"/>
      <c r="BB694" s="88"/>
      <c r="BC694" s="88"/>
      <c r="BD694" s="88"/>
    </row>
    <row r="695" spans="1:56" ht="12.55" x14ac:dyDescent="0.2">
      <c r="A695" s="88"/>
      <c r="B695" s="88"/>
      <c r="C695" s="88"/>
      <c r="D695" s="88"/>
      <c r="E695" s="88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88"/>
      <c r="AL695" s="88"/>
      <c r="AM695" s="88"/>
      <c r="AN695" s="88"/>
      <c r="AO695" s="88"/>
      <c r="AP695" s="88"/>
      <c r="AQ695" s="88"/>
      <c r="AR695" s="88"/>
      <c r="AS695" s="88"/>
      <c r="AT695" s="88"/>
      <c r="AU695" s="88"/>
      <c r="AV695" s="88"/>
      <c r="AW695" s="88"/>
      <c r="AX695" s="88"/>
      <c r="AY695" s="88"/>
      <c r="AZ695" s="88"/>
      <c r="BA695" s="88"/>
      <c r="BB695" s="88"/>
      <c r="BC695" s="88"/>
      <c r="BD695" s="88"/>
    </row>
    <row r="696" spans="1:56" ht="12.55" x14ac:dyDescent="0.2">
      <c r="A696" s="88"/>
      <c r="B696" s="88"/>
      <c r="C696" s="88"/>
      <c r="D696" s="88"/>
      <c r="E696" s="88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88"/>
      <c r="AL696" s="88"/>
      <c r="AM696" s="88"/>
      <c r="AN696" s="88"/>
      <c r="AO696" s="88"/>
      <c r="AP696" s="88"/>
      <c r="AQ696" s="88"/>
      <c r="AR696" s="88"/>
      <c r="AS696" s="88"/>
      <c r="AT696" s="88"/>
      <c r="AU696" s="88"/>
      <c r="AV696" s="88"/>
      <c r="AW696" s="88"/>
      <c r="AX696" s="88"/>
      <c r="AY696" s="88"/>
      <c r="AZ696" s="88"/>
      <c r="BA696" s="88"/>
      <c r="BB696" s="88"/>
      <c r="BC696" s="88"/>
      <c r="BD696" s="88"/>
    </row>
    <row r="697" spans="1:56" ht="12.55" x14ac:dyDescent="0.2">
      <c r="A697" s="88"/>
      <c r="B697" s="88"/>
      <c r="C697" s="88"/>
      <c r="D697" s="88"/>
      <c r="E697" s="88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88"/>
      <c r="AL697" s="88"/>
      <c r="AM697" s="88"/>
      <c r="AN697" s="88"/>
      <c r="AO697" s="88"/>
      <c r="AP697" s="88"/>
      <c r="AQ697" s="88"/>
      <c r="AR697" s="88"/>
      <c r="AS697" s="88"/>
      <c r="AT697" s="88"/>
      <c r="AU697" s="88"/>
      <c r="AV697" s="88"/>
      <c r="AW697" s="88"/>
      <c r="AX697" s="88"/>
      <c r="AY697" s="88"/>
      <c r="AZ697" s="88"/>
      <c r="BA697" s="88"/>
      <c r="BB697" s="88"/>
      <c r="BC697" s="88"/>
      <c r="BD697" s="88"/>
    </row>
    <row r="698" spans="1:56" ht="12.55" x14ac:dyDescent="0.2">
      <c r="A698" s="88"/>
      <c r="B698" s="88"/>
      <c r="C698" s="88"/>
      <c r="D698" s="88"/>
      <c r="E698" s="88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88"/>
      <c r="AL698" s="88"/>
      <c r="AM698" s="88"/>
      <c r="AN698" s="88"/>
      <c r="AO698" s="88"/>
      <c r="AP698" s="88"/>
      <c r="AQ698" s="88"/>
      <c r="AR698" s="88"/>
      <c r="AS698" s="88"/>
      <c r="AT698" s="88"/>
      <c r="AU698" s="88"/>
      <c r="AV698" s="88"/>
      <c r="AW698" s="88"/>
      <c r="AX698" s="88"/>
      <c r="AY698" s="88"/>
      <c r="AZ698" s="88"/>
      <c r="BA698" s="88"/>
      <c r="BB698" s="88"/>
      <c r="BC698" s="88"/>
      <c r="BD698" s="88"/>
    </row>
    <row r="699" spans="1:56" ht="12.55" x14ac:dyDescent="0.2">
      <c r="A699" s="88"/>
      <c r="B699" s="88"/>
      <c r="C699" s="88"/>
      <c r="D699" s="88"/>
      <c r="E699" s="88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88"/>
      <c r="AL699" s="88"/>
      <c r="AM699" s="88"/>
      <c r="AN699" s="88"/>
      <c r="AO699" s="88"/>
      <c r="AP699" s="88"/>
      <c r="AQ699" s="88"/>
      <c r="AR699" s="88"/>
      <c r="AS699" s="88"/>
      <c r="AT699" s="88"/>
      <c r="AU699" s="88"/>
      <c r="AV699" s="88"/>
      <c r="AW699" s="88"/>
      <c r="AX699" s="88"/>
      <c r="AY699" s="88"/>
      <c r="AZ699" s="88"/>
      <c r="BA699" s="88"/>
      <c r="BB699" s="88"/>
      <c r="BC699" s="88"/>
      <c r="BD699" s="88"/>
    </row>
    <row r="700" spans="1:56" ht="12.55" x14ac:dyDescent="0.2">
      <c r="A700" s="88"/>
      <c r="B700" s="88"/>
      <c r="C700" s="88"/>
      <c r="D700" s="88"/>
      <c r="E700" s="88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88"/>
      <c r="AL700" s="88"/>
      <c r="AM700" s="88"/>
      <c r="AN700" s="88"/>
      <c r="AO700" s="88"/>
      <c r="AP700" s="88"/>
      <c r="AQ700" s="88"/>
      <c r="AR700" s="88"/>
      <c r="AS700" s="88"/>
      <c r="AT700" s="88"/>
      <c r="AU700" s="88"/>
      <c r="AV700" s="88"/>
      <c r="AW700" s="88"/>
      <c r="AX700" s="88"/>
      <c r="AY700" s="88"/>
      <c r="AZ700" s="88"/>
      <c r="BA700" s="88"/>
      <c r="BB700" s="88"/>
      <c r="BC700" s="88"/>
      <c r="BD700" s="88"/>
    </row>
    <row r="701" spans="1:56" ht="12.55" x14ac:dyDescent="0.2">
      <c r="A701" s="88"/>
      <c r="B701" s="88"/>
      <c r="C701" s="88"/>
      <c r="D701" s="88"/>
      <c r="E701" s="88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88"/>
      <c r="AL701" s="88"/>
      <c r="AM701" s="88"/>
      <c r="AN701" s="88"/>
      <c r="AO701" s="88"/>
      <c r="AP701" s="88"/>
      <c r="AQ701" s="88"/>
      <c r="AR701" s="88"/>
      <c r="AS701" s="88"/>
      <c r="AT701" s="88"/>
      <c r="AU701" s="88"/>
      <c r="AV701" s="88"/>
      <c r="AW701" s="88"/>
      <c r="AX701" s="88"/>
      <c r="AY701" s="88"/>
      <c r="AZ701" s="88"/>
      <c r="BA701" s="88"/>
      <c r="BB701" s="88"/>
      <c r="BC701" s="88"/>
      <c r="BD701" s="88"/>
    </row>
    <row r="702" spans="1:56" ht="12.55" x14ac:dyDescent="0.2">
      <c r="A702" s="88"/>
      <c r="B702" s="88"/>
      <c r="C702" s="88"/>
      <c r="D702" s="88"/>
      <c r="E702" s="88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88"/>
      <c r="AL702" s="88"/>
      <c r="AM702" s="88"/>
      <c r="AN702" s="88"/>
      <c r="AO702" s="88"/>
      <c r="AP702" s="88"/>
      <c r="AQ702" s="88"/>
      <c r="AR702" s="88"/>
      <c r="AS702" s="88"/>
      <c r="AT702" s="88"/>
      <c r="AU702" s="88"/>
      <c r="AV702" s="88"/>
      <c r="AW702" s="88"/>
      <c r="AX702" s="88"/>
      <c r="AY702" s="88"/>
      <c r="AZ702" s="88"/>
      <c r="BA702" s="88"/>
      <c r="BB702" s="88"/>
      <c r="BC702" s="88"/>
      <c r="BD702" s="88"/>
    </row>
    <row r="703" spans="1:56" ht="12.55" x14ac:dyDescent="0.2">
      <c r="A703" s="88"/>
      <c r="B703" s="88"/>
      <c r="C703" s="88"/>
      <c r="D703" s="88"/>
      <c r="E703" s="88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88"/>
      <c r="AL703" s="88"/>
      <c r="AM703" s="88"/>
      <c r="AN703" s="88"/>
      <c r="AO703" s="88"/>
      <c r="AP703" s="88"/>
      <c r="AQ703" s="88"/>
      <c r="AR703" s="88"/>
      <c r="AS703" s="88"/>
      <c r="AT703" s="88"/>
      <c r="AU703" s="88"/>
      <c r="AV703" s="88"/>
      <c r="AW703" s="88"/>
      <c r="AX703" s="88"/>
      <c r="AY703" s="88"/>
      <c r="AZ703" s="88"/>
      <c r="BA703" s="88"/>
      <c r="BB703" s="88"/>
      <c r="BC703" s="88"/>
      <c r="BD703" s="88"/>
    </row>
    <row r="704" spans="1:56" ht="12.55" x14ac:dyDescent="0.2">
      <c r="A704" s="88"/>
      <c r="B704" s="88"/>
      <c r="C704" s="88"/>
      <c r="D704" s="88"/>
      <c r="E704" s="88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88"/>
      <c r="AL704" s="88"/>
      <c r="AM704" s="88"/>
      <c r="AN704" s="88"/>
      <c r="AO704" s="88"/>
      <c r="AP704" s="88"/>
      <c r="AQ704" s="88"/>
      <c r="AR704" s="88"/>
      <c r="AS704" s="88"/>
      <c r="AT704" s="88"/>
      <c r="AU704" s="88"/>
      <c r="AV704" s="88"/>
      <c r="AW704" s="88"/>
      <c r="AX704" s="88"/>
      <c r="AY704" s="88"/>
      <c r="AZ704" s="88"/>
      <c r="BA704" s="88"/>
      <c r="BB704" s="88"/>
      <c r="BC704" s="88"/>
      <c r="BD704" s="88"/>
    </row>
    <row r="705" spans="1:56" ht="12.55" x14ac:dyDescent="0.2">
      <c r="A705" s="88"/>
      <c r="B705" s="88"/>
      <c r="C705" s="88"/>
      <c r="D705" s="88"/>
      <c r="E705" s="88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88"/>
      <c r="AL705" s="88"/>
      <c r="AM705" s="88"/>
      <c r="AN705" s="88"/>
      <c r="AO705" s="88"/>
      <c r="AP705" s="88"/>
      <c r="AQ705" s="88"/>
      <c r="AR705" s="88"/>
      <c r="AS705" s="88"/>
      <c r="AT705" s="88"/>
      <c r="AU705" s="88"/>
      <c r="AV705" s="88"/>
      <c r="AW705" s="88"/>
      <c r="AX705" s="88"/>
      <c r="AY705" s="88"/>
      <c r="AZ705" s="88"/>
      <c r="BA705" s="88"/>
      <c r="BB705" s="88"/>
      <c r="BC705" s="88"/>
      <c r="BD705" s="88"/>
    </row>
    <row r="706" spans="1:56" ht="12.55" x14ac:dyDescent="0.2">
      <c r="A706" s="88"/>
      <c r="B706" s="88"/>
      <c r="C706" s="88"/>
      <c r="D706" s="88"/>
      <c r="E706" s="88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88"/>
      <c r="AL706" s="88"/>
      <c r="AM706" s="88"/>
      <c r="AN706" s="88"/>
      <c r="AO706" s="88"/>
      <c r="AP706" s="88"/>
      <c r="AQ706" s="88"/>
      <c r="AR706" s="88"/>
      <c r="AS706" s="88"/>
      <c r="AT706" s="88"/>
      <c r="AU706" s="88"/>
      <c r="AV706" s="88"/>
      <c r="AW706" s="88"/>
      <c r="AX706" s="88"/>
      <c r="AY706" s="88"/>
      <c r="AZ706" s="88"/>
      <c r="BA706" s="88"/>
      <c r="BB706" s="88"/>
      <c r="BC706" s="88"/>
      <c r="BD706" s="88"/>
    </row>
    <row r="707" spans="1:56" ht="12.55" x14ac:dyDescent="0.2">
      <c r="A707" s="88"/>
      <c r="B707" s="88"/>
      <c r="C707" s="88"/>
      <c r="D707" s="88"/>
      <c r="E707" s="88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88"/>
      <c r="AL707" s="88"/>
      <c r="AM707" s="88"/>
      <c r="AN707" s="88"/>
      <c r="AO707" s="88"/>
      <c r="AP707" s="88"/>
      <c r="AQ707" s="88"/>
      <c r="AR707" s="88"/>
      <c r="AS707" s="88"/>
      <c r="AT707" s="88"/>
      <c r="AU707" s="88"/>
      <c r="AV707" s="88"/>
      <c r="AW707" s="88"/>
      <c r="AX707" s="88"/>
      <c r="AY707" s="88"/>
      <c r="AZ707" s="88"/>
      <c r="BA707" s="88"/>
      <c r="BB707" s="88"/>
      <c r="BC707" s="88"/>
      <c r="BD707" s="88"/>
    </row>
    <row r="708" spans="1:56" ht="12.55" x14ac:dyDescent="0.2">
      <c r="A708" s="88"/>
      <c r="B708" s="88"/>
      <c r="C708" s="88"/>
      <c r="D708" s="88"/>
      <c r="E708" s="88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88"/>
      <c r="AL708" s="88"/>
      <c r="AM708" s="88"/>
      <c r="AN708" s="88"/>
      <c r="AO708" s="88"/>
      <c r="AP708" s="88"/>
      <c r="AQ708" s="88"/>
      <c r="AR708" s="88"/>
      <c r="AS708" s="88"/>
      <c r="AT708" s="88"/>
      <c r="AU708" s="88"/>
      <c r="AV708" s="88"/>
      <c r="AW708" s="88"/>
      <c r="AX708" s="88"/>
      <c r="AY708" s="88"/>
      <c r="AZ708" s="88"/>
      <c r="BA708" s="88"/>
      <c r="BB708" s="88"/>
      <c r="BC708" s="88"/>
      <c r="BD708" s="88"/>
    </row>
    <row r="709" spans="1:56" ht="12.55" x14ac:dyDescent="0.2">
      <c r="A709" s="88"/>
      <c r="B709" s="88"/>
      <c r="C709" s="88"/>
      <c r="D709" s="88"/>
      <c r="E709" s="88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88"/>
      <c r="AL709" s="88"/>
      <c r="AM709" s="88"/>
      <c r="AN709" s="88"/>
      <c r="AO709" s="88"/>
      <c r="AP709" s="88"/>
      <c r="AQ709" s="88"/>
      <c r="AR709" s="88"/>
      <c r="AS709" s="88"/>
      <c r="AT709" s="88"/>
      <c r="AU709" s="88"/>
      <c r="AV709" s="88"/>
      <c r="AW709" s="88"/>
      <c r="AX709" s="88"/>
      <c r="AY709" s="88"/>
      <c r="AZ709" s="88"/>
      <c r="BA709" s="88"/>
      <c r="BB709" s="88"/>
      <c r="BC709" s="88"/>
      <c r="BD709" s="88"/>
    </row>
    <row r="710" spans="1:56" ht="12.55" x14ac:dyDescent="0.2">
      <c r="A710" s="88"/>
      <c r="B710" s="88"/>
      <c r="C710" s="88"/>
      <c r="D710" s="88"/>
      <c r="E710" s="88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88"/>
      <c r="AL710" s="88"/>
      <c r="AM710" s="88"/>
      <c r="AN710" s="88"/>
      <c r="AO710" s="88"/>
      <c r="AP710" s="88"/>
      <c r="AQ710" s="88"/>
      <c r="AR710" s="88"/>
      <c r="AS710" s="88"/>
      <c r="AT710" s="88"/>
      <c r="AU710" s="88"/>
      <c r="AV710" s="88"/>
      <c r="AW710" s="88"/>
      <c r="AX710" s="88"/>
      <c r="AY710" s="88"/>
      <c r="AZ710" s="88"/>
      <c r="BA710" s="88"/>
      <c r="BB710" s="88"/>
      <c r="BC710" s="88"/>
      <c r="BD710" s="88"/>
    </row>
    <row r="711" spans="1:56" ht="12.55" x14ac:dyDescent="0.2">
      <c r="A711" s="88"/>
      <c r="B711" s="88"/>
      <c r="C711" s="88"/>
      <c r="D711" s="88"/>
      <c r="E711" s="88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88"/>
      <c r="AL711" s="88"/>
      <c r="AM711" s="88"/>
      <c r="AN711" s="88"/>
      <c r="AO711" s="88"/>
      <c r="AP711" s="88"/>
      <c r="AQ711" s="88"/>
      <c r="AR711" s="88"/>
      <c r="AS711" s="88"/>
      <c r="AT711" s="88"/>
      <c r="AU711" s="88"/>
      <c r="AV711" s="88"/>
      <c r="AW711" s="88"/>
      <c r="AX711" s="88"/>
      <c r="AY711" s="88"/>
      <c r="AZ711" s="88"/>
      <c r="BA711" s="88"/>
      <c r="BB711" s="88"/>
      <c r="BC711" s="88"/>
      <c r="BD711" s="88"/>
    </row>
    <row r="712" spans="1:56" ht="12.55" x14ac:dyDescent="0.2">
      <c r="A712" s="88"/>
      <c r="B712" s="88"/>
      <c r="C712" s="88"/>
      <c r="D712" s="88"/>
      <c r="E712" s="88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88"/>
      <c r="AL712" s="88"/>
      <c r="AM712" s="88"/>
      <c r="AN712" s="88"/>
      <c r="AO712" s="88"/>
      <c r="AP712" s="88"/>
      <c r="AQ712" s="88"/>
      <c r="AR712" s="88"/>
      <c r="AS712" s="88"/>
      <c r="AT712" s="88"/>
      <c r="AU712" s="88"/>
      <c r="AV712" s="88"/>
      <c r="AW712" s="88"/>
      <c r="AX712" s="88"/>
      <c r="AY712" s="88"/>
      <c r="AZ712" s="88"/>
      <c r="BA712" s="88"/>
      <c r="BB712" s="88"/>
      <c r="BC712" s="88"/>
      <c r="BD712" s="88"/>
    </row>
    <row r="713" spans="1:56" ht="12.55" x14ac:dyDescent="0.2">
      <c r="A713" s="88"/>
      <c r="B713" s="88"/>
      <c r="C713" s="88"/>
      <c r="D713" s="88"/>
      <c r="E713" s="88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88"/>
      <c r="AL713" s="88"/>
      <c r="AM713" s="88"/>
      <c r="AN713" s="88"/>
      <c r="AO713" s="88"/>
      <c r="AP713" s="88"/>
      <c r="AQ713" s="88"/>
      <c r="AR713" s="88"/>
      <c r="AS713" s="88"/>
      <c r="AT713" s="88"/>
      <c r="AU713" s="88"/>
      <c r="AV713" s="88"/>
      <c r="AW713" s="88"/>
      <c r="AX713" s="88"/>
      <c r="AY713" s="88"/>
      <c r="AZ713" s="88"/>
      <c r="BA713" s="88"/>
      <c r="BB713" s="88"/>
      <c r="BC713" s="88"/>
      <c r="BD713" s="88"/>
    </row>
    <row r="714" spans="1:56" ht="12.55" x14ac:dyDescent="0.2">
      <c r="A714" s="88"/>
      <c r="B714" s="88"/>
      <c r="C714" s="88"/>
      <c r="D714" s="88"/>
      <c r="E714" s="88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88"/>
      <c r="AL714" s="88"/>
      <c r="AM714" s="88"/>
      <c r="AN714" s="88"/>
      <c r="AO714" s="88"/>
      <c r="AP714" s="88"/>
      <c r="AQ714" s="88"/>
      <c r="AR714" s="88"/>
      <c r="AS714" s="88"/>
      <c r="AT714" s="88"/>
      <c r="AU714" s="88"/>
      <c r="AV714" s="88"/>
      <c r="AW714" s="88"/>
      <c r="AX714" s="88"/>
      <c r="AY714" s="88"/>
      <c r="AZ714" s="88"/>
      <c r="BA714" s="88"/>
      <c r="BB714" s="88"/>
      <c r="BC714" s="88"/>
      <c r="BD714" s="88"/>
    </row>
    <row r="715" spans="1:56" ht="12.55" x14ac:dyDescent="0.2">
      <c r="A715" s="88"/>
      <c r="B715" s="88"/>
      <c r="C715" s="88"/>
      <c r="D715" s="88"/>
      <c r="E715" s="88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88"/>
      <c r="AL715" s="88"/>
      <c r="AM715" s="88"/>
      <c r="AN715" s="88"/>
      <c r="AO715" s="88"/>
      <c r="AP715" s="88"/>
      <c r="AQ715" s="88"/>
      <c r="AR715" s="88"/>
      <c r="AS715" s="88"/>
      <c r="AT715" s="88"/>
      <c r="AU715" s="88"/>
      <c r="AV715" s="88"/>
      <c r="AW715" s="88"/>
      <c r="AX715" s="88"/>
      <c r="AY715" s="88"/>
      <c r="AZ715" s="88"/>
      <c r="BA715" s="88"/>
      <c r="BB715" s="88"/>
      <c r="BC715" s="88"/>
      <c r="BD715" s="88"/>
    </row>
    <row r="716" spans="1:56" ht="12.55" x14ac:dyDescent="0.2">
      <c r="A716" s="88"/>
      <c r="B716" s="88"/>
      <c r="C716" s="88"/>
      <c r="D716" s="88"/>
      <c r="E716" s="88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88"/>
      <c r="AL716" s="88"/>
      <c r="AM716" s="88"/>
      <c r="AN716" s="88"/>
      <c r="AO716" s="88"/>
      <c r="AP716" s="88"/>
      <c r="AQ716" s="88"/>
      <c r="AR716" s="88"/>
      <c r="AS716" s="88"/>
      <c r="AT716" s="88"/>
      <c r="AU716" s="88"/>
      <c r="AV716" s="88"/>
      <c r="AW716" s="88"/>
      <c r="AX716" s="88"/>
      <c r="AY716" s="88"/>
      <c r="AZ716" s="88"/>
      <c r="BA716" s="88"/>
      <c r="BB716" s="88"/>
      <c r="BC716" s="88"/>
      <c r="BD716" s="88"/>
    </row>
    <row r="717" spans="1:56" ht="12.55" x14ac:dyDescent="0.2">
      <c r="A717" s="88"/>
      <c r="B717" s="88"/>
      <c r="C717" s="88"/>
      <c r="D717" s="88"/>
      <c r="E717" s="88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88"/>
      <c r="AL717" s="88"/>
      <c r="AM717" s="88"/>
      <c r="AN717" s="88"/>
      <c r="AO717" s="88"/>
      <c r="AP717" s="88"/>
      <c r="AQ717" s="88"/>
      <c r="AR717" s="88"/>
      <c r="AS717" s="88"/>
      <c r="AT717" s="88"/>
      <c r="AU717" s="88"/>
      <c r="AV717" s="88"/>
      <c r="AW717" s="88"/>
      <c r="AX717" s="88"/>
      <c r="AY717" s="88"/>
      <c r="AZ717" s="88"/>
      <c r="BA717" s="88"/>
      <c r="BB717" s="88"/>
      <c r="BC717" s="88"/>
      <c r="BD717" s="88"/>
    </row>
    <row r="718" spans="1:56" ht="12.55" x14ac:dyDescent="0.2">
      <c r="A718" s="88"/>
      <c r="B718" s="88"/>
      <c r="C718" s="88"/>
      <c r="D718" s="88"/>
      <c r="E718" s="88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88"/>
      <c r="AL718" s="88"/>
      <c r="AM718" s="88"/>
      <c r="AN718" s="88"/>
      <c r="AO718" s="88"/>
      <c r="AP718" s="88"/>
      <c r="AQ718" s="88"/>
      <c r="AR718" s="88"/>
      <c r="AS718" s="88"/>
      <c r="AT718" s="88"/>
      <c r="AU718" s="88"/>
      <c r="AV718" s="88"/>
      <c r="AW718" s="88"/>
      <c r="AX718" s="88"/>
      <c r="AY718" s="88"/>
      <c r="AZ718" s="88"/>
      <c r="BA718" s="88"/>
      <c r="BB718" s="88"/>
      <c r="BC718" s="88"/>
      <c r="BD718" s="88"/>
    </row>
    <row r="719" spans="1:56" ht="12.55" x14ac:dyDescent="0.2">
      <c r="A719" s="88"/>
      <c r="B719" s="88"/>
      <c r="C719" s="88"/>
      <c r="D719" s="88"/>
      <c r="E719" s="88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88"/>
      <c r="AL719" s="88"/>
      <c r="AM719" s="88"/>
      <c r="AN719" s="88"/>
      <c r="AO719" s="88"/>
      <c r="AP719" s="88"/>
      <c r="AQ719" s="88"/>
      <c r="AR719" s="88"/>
      <c r="AS719" s="88"/>
      <c r="AT719" s="88"/>
      <c r="AU719" s="88"/>
      <c r="AV719" s="88"/>
      <c r="AW719" s="88"/>
      <c r="AX719" s="88"/>
      <c r="AY719" s="88"/>
      <c r="AZ719" s="88"/>
      <c r="BA719" s="88"/>
      <c r="BB719" s="88"/>
      <c r="BC719" s="88"/>
      <c r="BD719" s="88"/>
    </row>
    <row r="720" spans="1:56" ht="12.55" x14ac:dyDescent="0.2">
      <c r="A720" s="88"/>
      <c r="B720" s="88"/>
      <c r="C720" s="88"/>
      <c r="D720" s="88"/>
      <c r="E720" s="88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88"/>
      <c r="AL720" s="88"/>
      <c r="AM720" s="88"/>
      <c r="AN720" s="88"/>
      <c r="AO720" s="88"/>
      <c r="AP720" s="88"/>
      <c r="AQ720" s="88"/>
      <c r="AR720" s="88"/>
      <c r="AS720" s="88"/>
      <c r="AT720" s="88"/>
      <c r="AU720" s="88"/>
      <c r="AV720" s="88"/>
      <c r="AW720" s="88"/>
      <c r="AX720" s="88"/>
      <c r="AY720" s="88"/>
      <c r="AZ720" s="88"/>
      <c r="BA720" s="88"/>
      <c r="BB720" s="88"/>
      <c r="BC720" s="88"/>
      <c r="BD720" s="88"/>
    </row>
    <row r="721" spans="1:56" ht="12.55" x14ac:dyDescent="0.2">
      <c r="A721" s="88"/>
      <c r="B721" s="88"/>
      <c r="C721" s="88"/>
      <c r="D721" s="88"/>
      <c r="E721" s="88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88"/>
      <c r="AL721" s="88"/>
      <c r="AM721" s="88"/>
      <c r="AN721" s="88"/>
      <c r="AO721" s="88"/>
      <c r="AP721" s="88"/>
      <c r="AQ721" s="88"/>
      <c r="AR721" s="88"/>
      <c r="AS721" s="88"/>
      <c r="AT721" s="88"/>
      <c r="AU721" s="88"/>
      <c r="AV721" s="88"/>
      <c r="AW721" s="88"/>
      <c r="AX721" s="88"/>
      <c r="AY721" s="88"/>
      <c r="AZ721" s="88"/>
      <c r="BA721" s="88"/>
      <c r="BB721" s="88"/>
      <c r="BC721" s="88"/>
      <c r="BD721" s="88"/>
    </row>
    <row r="722" spans="1:56" ht="12.55" x14ac:dyDescent="0.2">
      <c r="A722" s="88"/>
      <c r="B722" s="88"/>
      <c r="C722" s="88"/>
      <c r="D722" s="88"/>
      <c r="E722" s="88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88"/>
      <c r="AL722" s="88"/>
      <c r="AM722" s="88"/>
      <c r="AN722" s="88"/>
      <c r="AO722" s="88"/>
      <c r="AP722" s="88"/>
      <c r="AQ722" s="88"/>
      <c r="AR722" s="88"/>
      <c r="AS722" s="88"/>
      <c r="AT722" s="88"/>
      <c r="AU722" s="88"/>
      <c r="AV722" s="88"/>
      <c r="AW722" s="88"/>
      <c r="AX722" s="88"/>
      <c r="AY722" s="88"/>
      <c r="AZ722" s="88"/>
      <c r="BA722" s="88"/>
      <c r="BB722" s="88"/>
      <c r="BC722" s="88"/>
      <c r="BD722" s="88"/>
    </row>
    <row r="723" spans="1:56" ht="12.55" x14ac:dyDescent="0.2">
      <c r="A723" s="88"/>
      <c r="B723" s="88"/>
      <c r="C723" s="88"/>
      <c r="D723" s="88"/>
      <c r="E723" s="88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88"/>
      <c r="AL723" s="88"/>
      <c r="AM723" s="88"/>
      <c r="AN723" s="88"/>
      <c r="AO723" s="88"/>
      <c r="AP723" s="88"/>
      <c r="AQ723" s="88"/>
      <c r="AR723" s="88"/>
      <c r="AS723" s="88"/>
      <c r="AT723" s="88"/>
      <c r="AU723" s="88"/>
      <c r="AV723" s="88"/>
      <c r="AW723" s="88"/>
      <c r="AX723" s="88"/>
      <c r="AY723" s="88"/>
      <c r="AZ723" s="88"/>
      <c r="BA723" s="88"/>
      <c r="BB723" s="88"/>
      <c r="BC723" s="88"/>
      <c r="BD723" s="88"/>
    </row>
    <row r="724" spans="1:56" ht="12.55" x14ac:dyDescent="0.2">
      <c r="A724" s="88"/>
      <c r="B724" s="88"/>
      <c r="C724" s="88"/>
      <c r="D724" s="88"/>
      <c r="E724" s="88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88"/>
      <c r="AL724" s="88"/>
      <c r="AM724" s="88"/>
      <c r="AN724" s="88"/>
      <c r="AO724" s="88"/>
      <c r="AP724" s="88"/>
      <c r="AQ724" s="88"/>
      <c r="AR724" s="88"/>
      <c r="AS724" s="88"/>
      <c r="AT724" s="88"/>
      <c r="AU724" s="88"/>
      <c r="AV724" s="88"/>
      <c r="AW724" s="88"/>
      <c r="AX724" s="88"/>
      <c r="AY724" s="88"/>
      <c r="AZ724" s="88"/>
      <c r="BA724" s="88"/>
      <c r="BB724" s="88"/>
      <c r="BC724" s="88"/>
      <c r="BD724" s="88"/>
    </row>
    <row r="725" spans="1:56" ht="12.55" x14ac:dyDescent="0.2">
      <c r="A725" s="88"/>
      <c r="B725" s="88"/>
      <c r="C725" s="88"/>
      <c r="D725" s="88"/>
      <c r="E725" s="88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88"/>
      <c r="AL725" s="88"/>
      <c r="AM725" s="88"/>
      <c r="AN725" s="88"/>
      <c r="AO725" s="88"/>
      <c r="AP725" s="88"/>
      <c r="AQ725" s="88"/>
      <c r="AR725" s="88"/>
      <c r="AS725" s="88"/>
      <c r="AT725" s="88"/>
      <c r="AU725" s="88"/>
      <c r="AV725" s="88"/>
      <c r="AW725" s="88"/>
      <c r="AX725" s="88"/>
      <c r="AY725" s="88"/>
      <c r="AZ725" s="88"/>
      <c r="BA725" s="88"/>
      <c r="BB725" s="88"/>
      <c r="BC725" s="88"/>
      <c r="BD725" s="88"/>
    </row>
    <row r="726" spans="1:56" ht="12.55" x14ac:dyDescent="0.2">
      <c r="A726" s="88"/>
      <c r="B726" s="88"/>
      <c r="C726" s="88"/>
      <c r="D726" s="88"/>
      <c r="E726" s="88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88"/>
      <c r="AL726" s="88"/>
      <c r="AM726" s="88"/>
      <c r="AN726" s="88"/>
      <c r="AO726" s="88"/>
      <c r="AP726" s="88"/>
      <c r="AQ726" s="88"/>
      <c r="AR726" s="88"/>
      <c r="AS726" s="88"/>
      <c r="AT726" s="88"/>
      <c r="AU726" s="88"/>
      <c r="AV726" s="88"/>
      <c r="AW726" s="88"/>
      <c r="AX726" s="88"/>
      <c r="AY726" s="88"/>
      <c r="AZ726" s="88"/>
      <c r="BA726" s="88"/>
      <c r="BB726" s="88"/>
      <c r="BC726" s="88"/>
      <c r="BD726" s="88"/>
    </row>
    <row r="727" spans="1:56" ht="12.55" x14ac:dyDescent="0.2">
      <c r="A727" s="88"/>
      <c r="B727" s="88"/>
      <c r="C727" s="88"/>
      <c r="D727" s="88"/>
      <c r="E727" s="88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88"/>
      <c r="AL727" s="88"/>
      <c r="AM727" s="88"/>
      <c r="AN727" s="88"/>
      <c r="AO727" s="88"/>
      <c r="AP727" s="88"/>
      <c r="AQ727" s="88"/>
      <c r="AR727" s="88"/>
      <c r="AS727" s="88"/>
      <c r="AT727" s="88"/>
      <c r="AU727" s="88"/>
      <c r="AV727" s="88"/>
      <c r="AW727" s="88"/>
      <c r="AX727" s="88"/>
      <c r="AY727" s="88"/>
      <c r="AZ727" s="88"/>
      <c r="BA727" s="88"/>
      <c r="BB727" s="88"/>
      <c r="BC727" s="88"/>
      <c r="BD727" s="88"/>
    </row>
    <row r="728" spans="1:56" ht="12.55" x14ac:dyDescent="0.2">
      <c r="A728" s="88"/>
      <c r="B728" s="88"/>
      <c r="C728" s="88"/>
      <c r="D728" s="88"/>
      <c r="E728" s="88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88"/>
      <c r="AL728" s="88"/>
      <c r="AM728" s="88"/>
      <c r="AN728" s="88"/>
      <c r="AO728" s="88"/>
      <c r="AP728" s="88"/>
      <c r="AQ728" s="88"/>
      <c r="AR728" s="88"/>
      <c r="AS728" s="88"/>
      <c r="AT728" s="88"/>
      <c r="AU728" s="88"/>
      <c r="AV728" s="88"/>
      <c r="AW728" s="88"/>
      <c r="AX728" s="88"/>
      <c r="AY728" s="88"/>
      <c r="AZ728" s="88"/>
      <c r="BA728" s="88"/>
      <c r="BB728" s="88"/>
      <c r="BC728" s="88"/>
      <c r="BD728" s="88"/>
    </row>
    <row r="729" spans="1:56" ht="12.55" x14ac:dyDescent="0.2">
      <c r="A729" s="88"/>
      <c r="B729" s="88"/>
      <c r="C729" s="88"/>
      <c r="D729" s="88"/>
      <c r="E729" s="88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88"/>
      <c r="AL729" s="88"/>
      <c r="AM729" s="88"/>
      <c r="AN729" s="88"/>
      <c r="AO729" s="88"/>
      <c r="AP729" s="88"/>
      <c r="AQ729" s="88"/>
      <c r="AR729" s="88"/>
      <c r="AS729" s="88"/>
      <c r="AT729" s="88"/>
      <c r="AU729" s="88"/>
      <c r="AV729" s="88"/>
      <c r="AW729" s="88"/>
      <c r="AX729" s="88"/>
      <c r="AY729" s="88"/>
      <c r="AZ729" s="88"/>
      <c r="BA729" s="88"/>
      <c r="BB729" s="88"/>
      <c r="BC729" s="88"/>
      <c r="BD729" s="88"/>
    </row>
    <row r="730" spans="1:56" ht="12.55" x14ac:dyDescent="0.2">
      <c r="A730" s="88"/>
      <c r="B730" s="88"/>
      <c r="C730" s="88"/>
      <c r="D730" s="88"/>
      <c r="E730" s="88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88"/>
      <c r="AL730" s="88"/>
      <c r="AM730" s="88"/>
      <c r="AN730" s="88"/>
      <c r="AO730" s="88"/>
      <c r="AP730" s="88"/>
      <c r="AQ730" s="88"/>
      <c r="AR730" s="88"/>
      <c r="AS730" s="88"/>
      <c r="AT730" s="88"/>
      <c r="AU730" s="88"/>
      <c r="AV730" s="88"/>
      <c r="AW730" s="88"/>
      <c r="AX730" s="88"/>
      <c r="AY730" s="88"/>
      <c r="AZ730" s="88"/>
      <c r="BA730" s="88"/>
      <c r="BB730" s="88"/>
      <c r="BC730" s="88"/>
      <c r="BD730" s="88"/>
    </row>
    <row r="731" spans="1:56" ht="12.55" x14ac:dyDescent="0.2">
      <c r="A731" s="88"/>
      <c r="B731" s="88"/>
      <c r="C731" s="88"/>
      <c r="D731" s="88"/>
      <c r="E731" s="88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88"/>
      <c r="AL731" s="88"/>
      <c r="AM731" s="88"/>
      <c r="AN731" s="88"/>
      <c r="AO731" s="88"/>
      <c r="AP731" s="88"/>
      <c r="AQ731" s="88"/>
      <c r="AR731" s="88"/>
      <c r="AS731" s="88"/>
      <c r="AT731" s="88"/>
      <c r="AU731" s="88"/>
      <c r="AV731" s="88"/>
      <c r="AW731" s="88"/>
      <c r="AX731" s="88"/>
      <c r="AY731" s="88"/>
      <c r="AZ731" s="88"/>
      <c r="BA731" s="88"/>
      <c r="BB731" s="88"/>
      <c r="BC731" s="88"/>
      <c r="BD731" s="88"/>
    </row>
    <row r="732" spans="1:56" ht="12.55" x14ac:dyDescent="0.2">
      <c r="A732" s="88"/>
      <c r="B732" s="88"/>
      <c r="C732" s="88"/>
      <c r="D732" s="88"/>
      <c r="E732" s="88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88"/>
      <c r="AL732" s="88"/>
      <c r="AM732" s="88"/>
      <c r="AN732" s="88"/>
      <c r="AO732" s="88"/>
      <c r="AP732" s="88"/>
      <c r="AQ732" s="88"/>
      <c r="AR732" s="88"/>
      <c r="AS732" s="88"/>
      <c r="AT732" s="88"/>
      <c r="AU732" s="88"/>
      <c r="AV732" s="88"/>
      <c r="AW732" s="88"/>
      <c r="AX732" s="88"/>
      <c r="AY732" s="88"/>
      <c r="AZ732" s="88"/>
      <c r="BA732" s="88"/>
      <c r="BB732" s="88"/>
      <c r="BC732" s="88"/>
      <c r="BD732" s="88"/>
    </row>
    <row r="733" spans="1:56" ht="12.55" x14ac:dyDescent="0.2">
      <c r="A733" s="88"/>
      <c r="B733" s="88"/>
      <c r="C733" s="88"/>
      <c r="D733" s="88"/>
      <c r="E733" s="88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88"/>
      <c r="AL733" s="88"/>
      <c r="AM733" s="88"/>
      <c r="AN733" s="88"/>
      <c r="AO733" s="88"/>
      <c r="AP733" s="88"/>
      <c r="AQ733" s="88"/>
      <c r="AR733" s="88"/>
      <c r="AS733" s="88"/>
      <c r="AT733" s="88"/>
      <c r="AU733" s="88"/>
      <c r="AV733" s="88"/>
      <c r="AW733" s="88"/>
      <c r="AX733" s="88"/>
      <c r="AY733" s="88"/>
      <c r="AZ733" s="88"/>
      <c r="BA733" s="88"/>
      <c r="BB733" s="88"/>
      <c r="BC733" s="88"/>
      <c r="BD733" s="88"/>
    </row>
    <row r="734" spans="1:56" ht="12.55" x14ac:dyDescent="0.2">
      <c r="A734" s="88"/>
      <c r="B734" s="88"/>
      <c r="C734" s="88"/>
      <c r="D734" s="88"/>
      <c r="E734" s="88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88"/>
      <c r="AL734" s="88"/>
      <c r="AM734" s="88"/>
      <c r="AN734" s="88"/>
      <c r="AO734" s="88"/>
      <c r="AP734" s="88"/>
      <c r="AQ734" s="88"/>
      <c r="AR734" s="88"/>
      <c r="AS734" s="88"/>
      <c r="AT734" s="88"/>
      <c r="AU734" s="88"/>
      <c r="AV734" s="88"/>
      <c r="AW734" s="88"/>
      <c r="AX734" s="88"/>
      <c r="AY734" s="88"/>
      <c r="AZ734" s="88"/>
      <c r="BA734" s="88"/>
      <c r="BB734" s="88"/>
      <c r="BC734" s="88"/>
      <c r="BD734" s="88"/>
    </row>
    <row r="735" spans="1:56" ht="12.55" x14ac:dyDescent="0.2">
      <c r="A735" s="88"/>
      <c r="B735" s="88"/>
      <c r="C735" s="88"/>
      <c r="D735" s="88"/>
      <c r="E735" s="88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88"/>
      <c r="AL735" s="88"/>
      <c r="AM735" s="88"/>
      <c r="AN735" s="88"/>
      <c r="AO735" s="88"/>
      <c r="AP735" s="88"/>
      <c r="AQ735" s="88"/>
      <c r="AR735" s="88"/>
      <c r="AS735" s="88"/>
      <c r="AT735" s="88"/>
      <c r="AU735" s="88"/>
      <c r="AV735" s="88"/>
      <c r="AW735" s="88"/>
      <c r="AX735" s="88"/>
      <c r="AY735" s="88"/>
      <c r="AZ735" s="88"/>
      <c r="BA735" s="88"/>
      <c r="BB735" s="88"/>
      <c r="BC735" s="88"/>
      <c r="BD735" s="88"/>
    </row>
    <row r="736" spans="1:56" ht="12.55" x14ac:dyDescent="0.2">
      <c r="A736" s="88"/>
      <c r="B736" s="88"/>
      <c r="C736" s="88"/>
      <c r="D736" s="88"/>
      <c r="E736" s="88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88"/>
      <c r="AL736" s="88"/>
      <c r="AM736" s="88"/>
      <c r="AN736" s="88"/>
      <c r="AO736" s="88"/>
      <c r="AP736" s="88"/>
      <c r="AQ736" s="88"/>
      <c r="AR736" s="88"/>
      <c r="AS736" s="88"/>
      <c r="AT736" s="88"/>
      <c r="AU736" s="88"/>
      <c r="AV736" s="88"/>
      <c r="AW736" s="88"/>
      <c r="AX736" s="88"/>
      <c r="AY736" s="88"/>
      <c r="AZ736" s="88"/>
      <c r="BA736" s="88"/>
      <c r="BB736" s="88"/>
      <c r="BC736" s="88"/>
      <c r="BD736" s="88"/>
    </row>
    <row r="737" spans="1:56" ht="12.55" x14ac:dyDescent="0.2">
      <c r="A737" s="88"/>
      <c r="B737" s="88"/>
      <c r="C737" s="88"/>
      <c r="D737" s="88"/>
      <c r="E737" s="88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88"/>
      <c r="AL737" s="88"/>
      <c r="AM737" s="88"/>
      <c r="AN737" s="88"/>
      <c r="AO737" s="88"/>
      <c r="AP737" s="88"/>
      <c r="AQ737" s="88"/>
      <c r="AR737" s="88"/>
      <c r="AS737" s="88"/>
      <c r="AT737" s="88"/>
      <c r="AU737" s="88"/>
      <c r="AV737" s="88"/>
      <c r="AW737" s="88"/>
      <c r="AX737" s="88"/>
      <c r="AY737" s="88"/>
      <c r="AZ737" s="88"/>
      <c r="BA737" s="88"/>
      <c r="BB737" s="88"/>
      <c r="BC737" s="88"/>
      <c r="BD737" s="88"/>
    </row>
    <row r="738" spans="1:56" ht="12.55" x14ac:dyDescent="0.2">
      <c r="A738" s="88"/>
      <c r="B738" s="88"/>
      <c r="C738" s="88"/>
      <c r="D738" s="88"/>
      <c r="E738" s="88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88"/>
      <c r="AL738" s="88"/>
      <c r="AM738" s="88"/>
      <c r="AN738" s="88"/>
      <c r="AO738" s="88"/>
      <c r="AP738" s="88"/>
      <c r="AQ738" s="88"/>
      <c r="AR738" s="88"/>
      <c r="AS738" s="88"/>
      <c r="AT738" s="88"/>
      <c r="AU738" s="88"/>
      <c r="AV738" s="88"/>
      <c r="AW738" s="88"/>
      <c r="AX738" s="88"/>
      <c r="AY738" s="88"/>
      <c r="AZ738" s="88"/>
      <c r="BA738" s="88"/>
      <c r="BB738" s="88"/>
      <c r="BC738" s="88"/>
      <c r="BD738" s="88"/>
    </row>
    <row r="739" spans="1:56" ht="12.55" x14ac:dyDescent="0.2">
      <c r="A739" s="88"/>
      <c r="B739" s="88"/>
      <c r="C739" s="88"/>
      <c r="D739" s="88"/>
      <c r="E739" s="88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88"/>
      <c r="AL739" s="88"/>
      <c r="AM739" s="88"/>
      <c r="AN739" s="88"/>
      <c r="AO739" s="88"/>
      <c r="AP739" s="88"/>
      <c r="AQ739" s="88"/>
      <c r="AR739" s="88"/>
      <c r="AS739" s="88"/>
      <c r="AT739" s="88"/>
      <c r="AU739" s="88"/>
      <c r="AV739" s="88"/>
      <c r="AW739" s="88"/>
      <c r="AX739" s="88"/>
      <c r="AY739" s="88"/>
      <c r="AZ739" s="88"/>
      <c r="BA739" s="88"/>
      <c r="BB739" s="88"/>
      <c r="BC739" s="88"/>
      <c r="BD739" s="88"/>
    </row>
    <row r="740" spans="1:56" ht="12.55" x14ac:dyDescent="0.2">
      <c r="A740" s="88"/>
      <c r="B740" s="88"/>
      <c r="C740" s="88"/>
      <c r="D740" s="88"/>
      <c r="E740" s="88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88"/>
      <c r="AL740" s="88"/>
      <c r="AM740" s="88"/>
      <c r="AN740" s="88"/>
      <c r="AO740" s="88"/>
      <c r="AP740" s="88"/>
      <c r="AQ740" s="88"/>
      <c r="AR740" s="88"/>
      <c r="AS740" s="88"/>
      <c r="AT740" s="88"/>
      <c r="AU740" s="88"/>
      <c r="AV740" s="88"/>
      <c r="AW740" s="88"/>
      <c r="AX740" s="88"/>
      <c r="AY740" s="88"/>
      <c r="AZ740" s="88"/>
      <c r="BA740" s="88"/>
      <c r="BB740" s="88"/>
      <c r="BC740" s="88"/>
      <c r="BD740" s="88"/>
    </row>
    <row r="741" spans="1:56" ht="12.55" x14ac:dyDescent="0.2">
      <c r="A741" s="88"/>
      <c r="B741" s="88"/>
      <c r="C741" s="88"/>
      <c r="D741" s="88"/>
      <c r="E741" s="88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88"/>
      <c r="AL741" s="88"/>
      <c r="AM741" s="88"/>
      <c r="AN741" s="88"/>
      <c r="AO741" s="88"/>
      <c r="AP741" s="88"/>
      <c r="AQ741" s="88"/>
      <c r="AR741" s="88"/>
      <c r="AS741" s="88"/>
      <c r="AT741" s="88"/>
      <c r="AU741" s="88"/>
      <c r="AV741" s="88"/>
      <c r="AW741" s="88"/>
      <c r="AX741" s="88"/>
      <c r="AY741" s="88"/>
      <c r="AZ741" s="88"/>
      <c r="BA741" s="88"/>
      <c r="BB741" s="88"/>
      <c r="BC741" s="88"/>
      <c r="BD741" s="88"/>
    </row>
    <row r="742" spans="1:56" ht="12.55" x14ac:dyDescent="0.2">
      <c r="A742" s="88"/>
      <c r="B742" s="88"/>
      <c r="C742" s="88"/>
      <c r="D742" s="88"/>
      <c r="E742" s="88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88"/>
      <c r="AL742" s="88"/>
      <c r="AM742" s="88"/>
      <c r="AN742" s="88"/>
      <c r="AO742" s="88"/>
      <c r="AP742" s="88"/>
      <c r="AQ742" s="88"/>
      <c r="AR742" s="88"/>
      <c r="AS742" s="88"/>
      <c r="AT742" s="88"/>
      <c r="AU742" s="88"/>
      <c r="AV742" s="88"/>
      <c r="AW742" s="88"/>
      <c r="AX742" s="88"/>
      <c r="AY742" s="88"/>
      <c r="AZ742" s="88"/>
      <c r="BA742" s="88"/>
      <c r="BB742" s="88"/>
      <c r="BC742" s="88"/>
      <c r="BD742" s="88"/>
    </row>
    <row r="743" spans="1:56" ht="12.55" x14ac:dyDescent="0.2">
      <c r="A743" s="88"/>
      <c r="B743" s="88"/>
      <c r="C743" s="88"/>
      <c r="D743" s="88"/>
      <c r="E743" s="88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88"/>
      <c r="AL743" s="88"/>
      <c r="AM743" s="88"/>
      <c r="AN743" s="88"/>
      <c r="AO743" s="88"/>
      <c r="AP743" s="88"/>
      <c r="AQ743" s="88"/>
      <c r="AR743" s="88"/>
      <c r="AS743" s="88"/>
      <c r="AT743" s="88"/>
      <c r="AU743" s="88"/>
      <c r="AV743" s="88"/>
      <c r="AW743" s="88"/>
      <c r="AX743" s="88"/>
      <c r="AY743" s="88"/>
      <c r="AZ743" s="88"/>
      <c r="BA743" s="88"/>
      <c r="BB743" s="88"/>
      <c r="BC743" s="88"/>
      <c r="BD743" s="88"/>
    </row>
    <row r="744" spans="1:56" ht="12.55" x14ac:dyDescent="0.2">
      <c r="A744" s="88"/>
      <c r="B744" s="88"/>
      <c r="C744" s="88"/>
      <c r="D744" s="88"/>
      <c r="E744" s="88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88"/>
      <c r="AL744" s="88"/>
      <c r="AM744" s="88"/>
      <c r="AN744" s="88"/>
      <c r="AO744" s="88"/>
      <c r="AP744" s="88"/>
      <c r="AQ744" s="88"/>
      <c r="AR744" s="88"/>
      <c r="AS744" s="88"/>
      <c r="AT744" s="88"/>
      <c r="AU744" s="88"/>
      <c r="AV744" s="88"/>
      <c r="AW744" s="88"/>
      <c r="AX744" s="88"/>
      <c r="AY744" s="88"/>
      <c r="AZ744" s="88"/>
      <c r="BA744" s="88"/>
      <c r="BB744" s="88"/>
      <c r="BC744" s="88"/>
      <c r="BD744" s="88"/>
    </row>
    <row r="745" spans="1:56" ht="12.55" x14ac:dyDescent="0.2">
      <c r="A745" s="88"/>
      <c r="B745" s="88"/>
      <c r="C745" s="88"/>
      <c r="D745" s="88"/>
      <c r="E745" s="88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88"/>
      <c r="AL745" s="88"/>
      <c r="AM745" s="88"/>
      <c r="AN745" s="88"/>
      <c r="AO745" s="88"/>
      <c r="AP745" s="88"/>
      <c r="AQ745" s="88"/>
      <c r="AR745" s="88"/>
      <c r="AS745" s="88"/>
      <c r="AT745" s="88"/>
      <c r="AU745" s="88"/>
      <c r="AV745" s="88"/>
      <c r="AW745" s="88"/>
      <c r="AX745" s="88"/>
      <c r="AY745" s="88"/>
      <c r="AZ745" s="88"/>
      <c r="BA745" s="88"/>
      <c r="BB745" s="88"/>
      <c r="BC745" s="88"/>
      <c r="BD745" s="88"/>
    </row>
    <row r="746" spans="1:56" ht="12.55" x14ac:dyDescent="0.2">
      <c r="A746" s="88"/>
      <c r="B746" s="88"/>
      <c r="C746" s="88"/>
      <c r="D746" s="88"/>
      <c r="E746" s="88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88"/>
      <c r="AL746" s="88"/>
      <c r="AM746" s="88"/>
      <c r="AN746" s="88"/>
      <c r="AO746" s="88"/>
      <c r="AP746" s="88"/>
      <c r="AQ746" s="88"/>
      <c r="AR746" s="88"/>
      <c r="AS746" s="88"/>
      <c r="AT746" s="88"/>
      <c r="AU746" s="88"/>
      <c r="AV746" s="88"/>
      <c r="AW746" s="88"/>
      <c r="AX746" s="88"/>
      <c r="AY746" s="88"/>
      <c r="AZ746" s="88"/>
      <c r="BA746" s="88"/>
      <c r="BB746" s="88"/>
      <c r="BC746" s="88"/>
      <c r="BD746" s="88"/>
    </row>
    <row r="747" spans="1:56" ht="12.55" x14ac:dyDescent="0.2">
      <c r="A747" s="88"/>
      <c r="B747" s="88"/>
      <c r="C747" s="88"/>
      <c r="D747" s="88"/>
      <c r="E747" s="88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88"/>
      <c r="AL747" s="88"/>
      <c r="AM747" s="88"/>
      <c r="AN747" s="88"/>
      <c r="AO747" s="88"/>
      <c r="AP747" s="88"/>
      <c r="AQ747" s="88"/>
      <c r="AR747" s="88"/>
      <c r="AS747" s="88"/>
      <c r="AT747" s="88"/>
      <c r="AU747" s="88"/>
      <c r="AV747" s="88"/>
      <c r="AW747" s="88"/>
      <c r="AX747" s="88"/>
      <c r="AY747" s="88"/>
      <c r="AZ747" s="88"/>
      <c r="BA747" s="88"/>
      <c r="BB747" s="88"/>
      <c r="BC747" s="88"/>
      <c r="BD747" s="88"/>
    </row>
    <row r="748" spans="1:56" ht="12.55" x14ac:dyDescent="0.2">
      <c r="A748" s="88"/>
      <c r="B748" s="88"/>
      <c r="C748" s="88"/>
      <c r="D748" s="88"/>
      <c r="E748" s="88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88"/>
      <c r="AL748" s="88"/>
      <c r="AM748" s="88"/>
      <c r="AN748" s="88"/>
      <c r="AO748" s="88"/>
      <c r="AP748" s="88"/>
      <c r="AQ748" s="88"/>
      <c r="AR748" s="88"/>
      <c r="AS748" s="88"/>
      <c r="AT748" s="88"/>
      <c r="AU748" s="88"/>
      <c r="AV748" s="88"/>
      <c r="AW748" s="88"/>
      <c r="AX748" s="88"/>
      <c r="AY748" s="88"/>
      <c r="AZ748" s="88"/>
      <c r="BA748" s="88"/>
      <c r="BB748" s="88"/>
      <c r="BC748" s="88"/>
      <c r="BD748" s="88"/>
    </row>
    <row r="749" spans="1:56" ht="12.55" x14ac:dyDescent="0.2">
      <c r="A749" s="88"/>
      <c r="B749" s="88"/>
      <c r="C749" s="88"/>
      <c r="D749" s="88"/>
      <c r="E749" s="88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88"/>
      <c r="AL749" s="88"/>
      <c r="AM749" s="88"/>
      <c r="AN749" s="88"/>
      <c r="AO749" s="88"/>
      <c r="AP749" s="88"/>
      <c r="AQ749" s="88"/>
      <c r="AR749" s="88"/>
      <c r="AS749" s="88"/>
      <c r="AT749" s="88"/>
      <c r="AU749" s="88"/>
      <c r="AV749" s="88"/>
      <c r="AW749" s="88"/>
      <c r="AX749" s="88"/>
      <c r="AY749" s="88"/>
      <c r="AZ749" s="88"/>
      <c r="BA749" s="88"/>
      <c r="BB749" s="88"/>
      <c r="BC749" s="88"/>
      <c r="BD749" s="88"/>
    </row>
    <row r="750" spans="1:56" ht="12.55" x14ac:dyDescent="0.2">
      <c r="A750" s="88"/>
      <c r="B750" s="88"/>
      <c r="C750" s="88"/>
      <c r="D750" s="88"/>
      <c r="E750" s="88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88"/>
      <c r="AL750" s="88"/>
      <c r="AM750" s="88"/>
      <c r="AN750" s="88"/>
      <c r="AO750" s="88"/>
      <c r="AP750" s="88"/>
      <c r="AQ750" s="88"/>
      <c r="AR750" s="88"/>
      <c r="AS750" s="88"/>
      <c r="AT750" s="88"/>
      <c r="AU750" s="88"/>
      <c r="AV750" s="88"/>
      <c r="AW750" s="88"/>
      <c r="AX750" s="88"/>
      <c r="AY750" s="88"/>
      <c r="AZ750" s="88"/>
      <c r="BA750" s="88"/>
      <c r="BB750" s="88"/>
      <c r="BC750" s="88"/>
      <c r="BD750" s="88"/>
    </row>
    <row r="751" spans="1:56" ht="12.55" x14ac:dyDescent="0.2">
      <c r="A751" s="88"/>
      <c r="B751" s="88"/>
      <c r="C751" s="88"/>
      <c r="D751" s="88"/>
      <c r="E751" s="88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88"/>
      <c r="AL751" s="88"/>
      <c r="AM751" s="88"/>
      <c r="AN751" s="88"/>
      <c r="AO751" s="88"/>
      <c r="AP751" s="88"/>
      <c r="AQ751" s="88"/>
      <c r="AR751" s="88"/>
      <c r="AS751" s="88"/>
      <c r="AT751" s="88"/>
      <c r="AU751" s="88"/>
      <c r="AV751" s="88"/>
      <c r="AW751" s="88"/>
      <c r="AX751" s="88"/>
      <c r="AY751" s="88"/>
      <c r="AZ751" s="88"/>
      <c r="BA751" s="88"/>
      <c r="BB751" s="88"/>
      <c r="BC751" s="88"/>
      <c r="BD751" s="88"/>
    </row>
    <row r="752" spans="1:56" ht="12.55" x14ac:dyDescent="0.2">
      <c r="A752" s="88"/>
      <c r="B752" s="88"/>
      <c r="C752" s="88"/>
      <c r="D752" s="88"/>
      <c r="E752" s="88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88"/>
      <c r="AL752" s="88"/>
      <c r="AM752" s="88"/>
      <c r="AN752" s="88"/>
      <c r="AO752" s="88"/>
      <c r="AP752" s="88"/>
      <c r="AQ752" s="88"/>
      <c r="AR752" s="88"/>
      <c r="AS752" s="88"/>
      <c r="AT752" s="88"/>
      <c r="AU752" s="88"/>
      <c r="AV752" s="88"/>
      <c r="AW752" s="88"/>
      <c r="AX752" s="88"/>
      <c r="AY752" s="88"/>
      <c r="AZ752" s="88"/>
      <c r="BA752" s="88"/>
      <c r="BB752" s="88"/>
      <c r="BC752" s="88"/>
      <c r="BD752" s="88"/>
    </row>
    <row r="753" spans="1:56" ht="12.55" x14ac:dyDescent="0.2">
      <c r="A753" s="88"/>
      <c r="B753" s="88"/>
      <c r="C753" s="88"/>
      <c r="D753" s="88"/>
      <c r="E753" s="88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88"/>
      <c r="AL753" s="88"/>
      <c r="AM753" s="88"/>
      <c r="AN753" s="88"/>
      <c r="AO753" s="88"/>
      <c r="AP753" s="88"/>
      <c r="AQ753" s="88"/>
      <c r="AR753" s="88"/>
      <c r="AS753" s="88"/>
      <c r="AT753" s="88"/>
      <c r="AU753" s="88"/>
      <c r="AV753" s="88"/>
      <c r="AW753" s="88"/>
      <c r="AX753" s="88"/>
      <c r="AY753" s="88"/>
      <c r="AZ753" s="88"/>
      <c r="BA753" s="88"/>
      <c r="BB753" s="88"/>
      <c r="BC753" s="88"/>
      <c r="BD753" s="88"/>
    </row>
    <row r="754" spans="1:56" ht="12.55" x14ac:dyDescent="0.2">
      <c r="A754" s="88"/>
      <c r="B754" s="88"/>
      <c r="C754" s="88"/>
      <c r="D754" s="88"/>
      <c r="E754" s="88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88"/>
      <c r="AL754" s="88"/>
      <c r="AM754" s="88"/>
      <c r="AN754" s="88"/>
      <c r="AO754" s="88"/>
      <c r="AP754" s="88"/>
      <c r="AQ754" s="88"/>
      <c r="AR754" s="88"/>
      <c r="AS754" s="88"/>
      <c r="AT754" s="88"/>
      <c r="AU754" s="88"/>
      <c r="AV754" s="88"/>
      <c r="AW754" s="88"/>
      <c r="AX754" s="88"/>
      <c r="AY754" s="88"/>
      <c r="AZ754" s="88"/>
      <c r="BA754" s="88"/>
      <c r="BB754" s="88"/>
      <c r="BC754" s="88"/>
      <c r="BD754" s="88"/>
    </row>
    <row r="755" spans="1:56" ht="12.55" x14ac:dyDescent="0.2">
      <c r="A755" s="88"/>
      <c r="B755" s="88"/>
      <c r="C755" s="88"/>
      <c r="D755" s="88"/>
      <c r="E755" s="88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88"/>
      <c r="AL755" s="88"/>
      <c r="AM755" s="88"/>
      <c r="AN755" s="88"/>
      <c r="AO755" s="88"/>
      <c r="AP755" s="88"/>
      <c r="AQ755" s="88"/>
      <c r="AR755" s="88"/>
      <c r="AS755" s="88"/>
      <c r="AT755" s="88"/>
      <c r="AU755" s="88"/>
      <c r="AV755" s="88"/>
      <c r="AW755" s="88"/>
      <c r="AX755" s="88"/>
      <c r="AY755" s="88"/>
      <c r="AZ755" s="88"/>
      <c r="BA755" s="88"/>
      <c r="BB755" s="88"/>
      <c r="BC755" s="88"/>
      <c r="BD755" s="88"/>
    </row>
    <row r="756" spans="1:56" ht="12.55" x14ac:dyDescent="0.2">
      <c r="A756" s="88"/>
      <c r="B756" s="88"/>
      <c r="C756" s="88"/>
      <c r="D756" s="88"/>
      <c r="E756" s="88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88"/>
      <c r="AL756" s="88"/>
      <c r="AM756" s="88"/>
      <c r="AN756" s="88"/>
      <c r="AO756" s="88"/>
      <c r="AP756" s="88"/>
      <c r="AQ756" s="88"/>
      <c r="AR756" s="88"/>
      <c r="AS756" s="88"/>
      <c r="AT756" s="88"/>
      <c r="AU756" s="88"/>
      <c r="AV756" s="88"/>
      <c r="AW756" s="88"/>
      <c r="AX756" s="88"/>
      <c r="AY756" s="88"/>
      <c r="AZ756" s="88"/>
      <c r="BA756" s="88"/>
      <c r="BB756" s="88"/>
      <c r="BC756" s="88"/>
      <c r="BD756" s="88"/>
    </row>
    <row r="757" spans="1:56" ht="12.55" x14ac:dyDescent="0.2">
      <c r="A757" s="88"/>
      <c r="B757" s="88"/>
      <c r="C757" s="88"/>
      <c r="D757" s="88"/>
      <c r="E757" s="88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88"/>
      <c r="AL757" s="88"/>
      <c r="AM757" s="88"/>
      <c r="AN757" s="88"/>
      <c r="AO757" s="88"/>
      <c r="AP757" s="88"/>
      <c r="AQ757" s="88"/>
      <c r="AR757" s="88"/>
      <c r="AS757" s="88"/>
      <c r="AT757" s="88"/>
      <c r="AU757" s="88"/>
      <c r="AV757" s="88"/>
      <c r="AW757" s="88"/>
      <c r="AX757" s="88"/>
      <c r="AY757" s="88"/>
      <c r="AZ757" s="88"/>
      <c r="BA757" s="88"/>
      <c r="BB757" s="88"/>
      <c r="BC757" s="88"/>
      <c r="BD757" s="88"/>
    </row>
    <row r="758" spans="1:56" ht="12.55" x14ac:dyDescent="0.2">
      <c r="A758" s="88"/>
      <c r="B758" s="88"/>
      <c r="C758" s="88"/>
      <c r="D758" s="88"/>
      <c r="E758" s="88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88"/>
      <c r="AL758" s="88"/>
      <c r="AM758" s="88"/>
      <c r="AN758" s="88"/>
      <c r="AO758" s="88"/>
      <c r="AP758" s="88"/>
      <c r="AQ758" s="88"/>
      <c r="AR758" s="88"/>
      <c r="AS758" s="88"/>
      <c r="AT758" s="88"/>
      <c r="AU758" s="88"/>
      <c r="AV758" s="88"/>
      <c r="AW758" s="88"/>
      <c r="AX758" s="88"/>
      <c r="AY758" s="88"/>
      <c r="AZ758" s="88"/>
      <c r="BA758" s="88"/>
      <c r="BB758" s="88"/>
      <c r="BC758" s="88"/>
      <c r="BD758" s="88"/>
    </row>
    <row r="759" spans="1:56" ht="12.55" x14ac:dyDescent="0.2">
      <c r="A759" s="88"/>
      <c r="B759" s="88"/>
      <c r="C759" s="88"/>
      <c r="D759" s="88"/>
      <c r="E759" s="88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88"/>
      <c r="AL759" s="88"/>
      <c r="AM759" s="88"/>
      <c r="AN759" s="88"/>
      <c r="AO759" s="88"/>
      <c r="AP759" s="88"/>
      <c r="AQ759" s="88"/>
      <c r="AR759" s="88"/>
      <c r="AS759" s="88"/>
      <c r="AT759" s="88"/>
      <c r="AU759" s="88"/>
      <c r="AV759" s="88"/>
      <c r="AW759" s="88"/>
      <c r="AX759" s="88"/>
      <c r="AY759" s="88"/>
      <c r="AZ759" s="88"/>
      <c r="BA759" s="88"/>
      <c r="BB759" s="88"/>
      <c r="BC759" s="88"/>
      <c r="BD759" s="88"/>
    </row>
    <row r="760" spans="1:56" ht="12.55" x14ac:dyDescent="0.2">
      <c r="A760" s="88"/>
      <c r="B760" s="88"/>
      <c r="C760" s="88"/>
      <c r="D760" s="88"/>
      <c r="E760" s="88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88"/>
      <c r="AL760" s="88"/>
      <c r="AM760" s="88"/>
      <c r="AN760" s="88"/>
      <c r="AO760" s="88"/>
      <c r="AP760" s="88"/>
      <c r="AQ760" s="88"/>
      <c r="AR760" s="88"/>
      <c r="AS760" s="88"/>
      <c r="AT760" s="88"/>
      <c r="AU760" s="88"/>
      <c r="AV760" s="88"/>
      <c r="AW760" s="88"/>
      <c r="AX760" s="88"/>
      <c r="AY760" s="88"/>
      <c r="AZ760" s="88"/>
      <c r="BA760" s="88"/>
      <c r="BB760" s="88"/>
      <c r="BC760" s="88"/>
      <c r="BD760" s="88"/>
    </row>
    <row r="761" spans="1:56" ht="12.55" x14ac:dyDescent="0.2">
      <c r="A761" s="88"/>
      <c r="B761" s="88"/>
      <c r="C761" s="88"/>
      <c r="D761" s="88"/>
      <c r="E761" s="88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88"/>
      <c r="AL761" s="88"/>
      <c r="AM761" s="88"/>
      <c r="AN761" s="88"/>
      <c r="AO761" s="88"/>
      <c r="AP761" s="88"/>
      <c r="AQ761" s="88"/>
      <c r="AR761" s="88"/>
      <c r="AS761" s="88"/>
      <c r="AT761" s="88"/>
      <c r="AU761" s="88"/>
      <c r="AV761" s="88"/>
      <c r="AW761" s="88"/>
      <c r="AX761" s="88"/>
      <c r="AY761" s="88"/>
      <c r="AZ761" s="88"/>
      <c r="BA761" s="88"/>
      <c r="BB761" s="88"/>
      <c r="BC761" s="88"/>
      <c r="BD761" s="88"/>
    </row>
    <row r="762" spans="1:56" ht="12.55" x14ac:dyDescent="0.2">
      <c r="A762" s="88"/>
      <c r="B762" s="88"/>
      <c r="C762" s="88"/>
      <c r="D762" s="88"/>
      <c r="E762" s="88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88"/>
      <c r="AL762" s="88"/>
      <c r="AM762" s="88"/>
      <c r="AN762" s="88"/>
      <c r="AO762" s="88"/>
      <c r="AP762" s="88"/>
      <c r="AQ762" s="88"/>
      <c r="AR762" s="88"/>
      <c r="AS762" s="88"/>
      <c r="AT762" s="88"/>
      <c r="AU762" s="88"/>
      <c r="AV762" s="88"/>
      <c r="AW762" s="88"/>
      <c r="AX762" s="88"/>
      <c r="AY762" s="88"/>
      <c r="AZ762" s="88"/>
      <c r="BA762" s="88"/>
      <c r="BB762" s="88"/>
      <c r="BC762" s="88"/>
      <c r="BD762" s="88"/>
    </row>
    <row r="763" spans="1:56" ht="12.55" x14ac:dyDescent="0.2">
      <c r="A763" s="88"/>
      <c r="B763" s="88"/>
      <c r="C763" s="88"/>
      <c r="D763" s="88"/>
      <c r="E763" s="88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88"/>
      <c r="AL763" s="88"/>
      <c r="AM763" s="88"/>
      <c r="AN763" s="88"/>
      <c r="AO763" s="88"/>
      <c r="AP763" s="88"/>
      <c r="AQ763" s="88"/>
      <c r="AR763" s="88"/>
      <c r="AS763" s="88"/>
      <c r="AT763" s="88"/>
      <c r="AU763" s="88"/>
      <c r="AV763" s="88"/>
      <c r="AW763" s="88"/>
      <c r="AX763" s="88"/>
      <c r="AY763" s="88"/>
      <c r="AZ763" s="88"/>
      <c r="BA763" s="88"/>
      <c r="BB763" s="88"/>
      <c r="BC763" s="88"/>
      <c r="BD763" s="88"/>
    </row>
    <row r="764" spans="1:56" ht="12.55" x14ac:dyDescent="0.2">
      <c r="A764" s="88"/>
      <c r="B764" s="88"/>
      <c r="C764" s="88"/>
      <c r="D764" s="88"/>
      <c r="E764" s="88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88"/>
      <c r="AL764" s="88"/>
      <c r="AM764" s="88"/>
      <c r="AN764" s="88"/>
      <c r="AO764" s="88"/>
      <c r="AP764" s="88"/>
      <c r="AQ764" s="88"/>
      <c r="AR764" s="88"/>
      <c r="AS764" s="88"/>
      <c r="AT764" s="88"/>
      <c r="AU764" s="88"/>
      <c r="AV764" s="88"/>
      <c r="AW764" s="88"/>
      <c r="AX764" s="88"/>
      <c r="AY764" s="88"/>
      <c r="AZ764" s="88"/>
      <c r="BA764" s="88"/>
      <c r="BB764" s="88"/>
      <c r="BC764" s="88"/>
      <c r="BD764" s="88"/>
    </row>
    <row r="765" spans="1:56" ht="12.55" x14ac:dyDescent="0.2">
      <c r="A765" s="88"/>
      <c r="B765" s="88"/>
      <c r="C765" s="88"/>
      <c r="D765" s="88"/>
      <c r="E765" s="88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88"/>
      <c r="AL765" s="88"/>
      <c r="AM765" s="88"/>
      <c r="AN765" s="88"/>
      <c r="AO765" s="88"/>
      <c r="AP765" s="88"/>
      <c r="AQ765" s="88"/>
      <c r="AR765" s="88"/>
      <c r="AS765" s="88"/>
      <c r="AT765" s="88"/>
      <c r="AU765" s="88"/>
      <c r="AV765" s="88"/>
      <c r="AW765" s="88"/>
      <c r="AX765" s="88"/>
      <c r="AY765" s="88"/>
      <c r="AZ765" s="88"/>
      <c r="BA765" s="88"/>
      <c r="BB765" s="88"/>
      <c r="BC765" s="88"/>
      <c r="BD765" s="88"/>
    </row>
    <row r="766" spans="1:56" ht="12.55" x14ac:dyDescent="0.2">
      <c r="A766" s="88"/>
      <c r="B766" s="88"/>
      <c r="C766" s="88"/>
      <c r="D766" s="88"/>
      <c r="E766" s="88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88"/>
      <c r="AL766" s="88"/>
      <c r="AM766" s="88"/>
      <c r="AN766" s="88"/>
      <c r="AO766" s="88"/>
      <c r="AP766" s="88"/>
      <c r="AQ766" s="88"/>
      <c r="AR766" s="88"/>
      <c r="AS766" s="88"/>
      <c r="AT766" s="88"/>
      <c r="AU766" s="88"/>
      <c r="AV766" s="88"/>
      <c r="AW766" s="88"/>
      <c r="AX766" s="88"/>
      <c r="AY766" s="88"/>
      <c r="AZ766" s="88"/>
      <c r="BA766" s="88"/>
      <c r="BB766" s="88"/>
      <c r="BC766" s="88"/>
      <c r="BD766" s="88"/>
    </row>
    <row r="767" spans="1:56" ht="12.55" x14ac:dyDescent="0.2">
      <c r="A767" s="88"/>
      <c r="B767" s="88"/>
      <c r="C767" s="88"/>
      <c r="D767" s="88"/>
      <c r="E767" s="88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88"/>
      <c r="AL767" s="88"/>
      <c r="AM767" s="88"/>
      <c r="AN767" s="88"/>
      <c r="AO767" s="88"/>
      <c r="AP767" s="88"/>
      <c r="AQ767" s="88"/>
      <c r="AR767" s="88"/>
      <c r="AS767" s="88"/>
      <c r="AT767" s="88"/>
      <c r="AU767" s="88"/>
      <c r="AV767" s="88"/>
      <c r="AW767" s="88"/>
      <c r="AX767" s="88"/>
      <c r="AY767" s="88"/>
      <c r="AZ767" s="88"/>
      <c r="BA767" s="88"/>
      <c r="BB767" s="88"/>
      <c r="BC767" s="88"/>
      <c r="BD767" s="88"/>
    </row>
    <row r="768" spans="1:56" ht="12.55" x14ac:dyDescent="0.2">
      <c r="A768" s="88"/>
      <c r="B768" s="88"/>
      <c r="C768" s="88"/>
      <c r="D768" s="88"/>
      <c r="E768" s="88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88"/>
      <c r="AL768" s="88"/>
      <c r="AM768" s="88"/>
      <c r="AN768" s="88"/>
      <c r="AO768" s="88"/>
      <c r="AP768" s="88"/>
      <c r="AQ768" s="88"/>
      <c r="AR768" s="88"/>
      <c r="AS768" s="88"/>
      <c r="AT768" s="88"/>
      <c r="AU768" s="88"/>
      <c r="AV768" s="88"/>
      <c r="AW768" s="88"/>
      <c r="AX768" s="88"/>
      <c r="AY768" s="88"/>
      <c r="AZ768" s="88"/>
      <c r="BA768" s="88"/>
      <c r="BB768" s="88"/>
      <c r="BC768" s="88"/>
      <c r="BD768" s="88"/>
    </row>
    <row r="769" spans="1:56" ht="12.55" x14ac:dyDescent="0.2">
      <c r="A769" s="88"/>
      <c r="B769" s="88"/>
      <c r="C769" s="88"/>
      <c r="D769" s="88"/>
      <c r="E769" s="88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88"/>
      <c r="AL769" s="88"/>
      <c r="AM769" s="88"/>
      <c r="AN769" s="88"/>
      <c r="AO769" s="88"/>
      <c r="AP769" s="88"/>
      <c r="AQ769" s="88"/>
      <c r="AR769" s="88"/>
      <c r="AS769" s="88"/>
      <c r="AT769" s="88"/>
      <c r="AU769" s="88"/>
      <c r="AV769" s="88"/>
      <c r="AW769" s="88"/>
      <c r="AX769" s="88"/>
      <c r="AY769" s="88"/>
      <c r="AZ769" s="88"/>
      <c r="BA769" s="88"/>
      <c r="BB769" s="88"/>
      <c r="BC769" s="88"/>
      <c r="BD769" s="88"/>
    </row>
    <row r="770" spans="1:56" ht="12.55" x14ac:dyDescent="0.2">
      <c r="A770" s="88"/>
      <c r="B770" s="88"/>
      <c r="C770" s="88"/>
      <c r="D770" s="88"/>
      <c r="E770" s="88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88"/>
      <c r="AL770" s="88"/>
      <c r="AM770" s="88"/>
      <c r="AN770" s="88"/>
      <c r="AO770" s="88"/>
      <c r="AP770" s="88"/>
      <c r="AQ770" s="88"/>
      <c r="AR770" s="88"/>
      <c r="AS770" s="88"/>
      <c r="AT770" s="88"/>
      <c r="AU770" s="88"/>
      <c r="AV770" s="88"/>
      <c r="AW770" s="88"/>
      <c r="AX770" s="88"/>
      <c r="AY770" s="88"/>
      <c r="AZ770" s="88"/>
      <c r="BA770" s="88"/>
      <c r="BB770" s="88"/>
      <c r="BC770" s="88"/>
      <c r="BD770" s="88"/>
    </row>
    <row r="771" spans="1:56" ht="12.55" x14ac:dyDescent="0.2">
      <c r="A771" s="88"/>
      <c r="B771" s="88"/>
      <c r="C771" s="88"/>
      <c r="D771" s="88"/>
      <c r="E771" s="88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88"/>
      <c r="AL771" s="88"/>
      <c r="AM771" s="88"/>
      <c r="AN771" s="88"/>
      <c r="AO771" s="88"/>
      <c r="AP771" s="88"/>
      <c r="AQ771" s="88"/>
      <c r="AR771" s="88"/>
      <c r="AS771" s="88"/>
      <c r="AT771" s="88"/>
      <c r="AU771" s="88"/>
      <c r="AV771" s="88"/>
      <c r="AW771" s="88"/>
      <c r="AX771" s="88"/>
      <c r="AY771" s="88"/>
      <c r="AZ771" s="88"/>
      <c r="BA771" s="88"/>
      <c r="BB771" s="88"/>
      <c r="BC771" s="88"/>
      <c r="BD771" s="88"/>
    </row>
    <row r="772" spans="1:56" ht="12.55" x14ac:dyDescent="0.2">
      <c r="A772" s="88"/>
      <c r="B772" s="88"/>
      <c r="C772" s="88"/>
      <c r="D772" s="88"/>
      <c r="E772" s="88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88"/>
      <c r="AL772" s="88"/>
      <c r="AM772" s="88"/>
      <c r="AN772" s="88"/>
      <c r="AO772" s="88"/>
      <c r="AP772" s="88"/>
      <c r="AQ772" s="88"/>
      <c r="AR772" s="88"/>
      <c r="AS772" s="88"/>
      <c r="AT772" s="88"/>
      <c r="AU772" s="88"/>
      <c r="AV772" s="88"/>
      <c r="AW772" s="88"/>
      <c r="AX772" s="88"/>
      <c r="AY772" s="88"/>
      <c r="AZ772" s="88"/>
      <c r="BA772" s="88"/>
      <c r="BB772" s="88"/>
      <c r="BC772" s="88"/>
      <c r="BD772" s="88"/>
    </row>
    <row r="773" spans="1:56" ht="12.55" x14ac:dyDescent="0.2">
      <c r="A773" s="88"/>
      <c r="B773" s="88"/>
      <c r="C773" s="88"/>
      <c r="D773" s="88"/>
      <c r="E773" s="88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88"/>
      <c r="AL773" s="88"/>
      <c r="AM773" s="88"/>
      <c r="AN773" s="88"/>
      <c r="AO773" s="88"/>
      <c r="AP773" s="88"/>
      <c r="AQ773" s="88"/>
      <c r="AR773" s="88"/>
      <c r="AS773" s="88"/>
      <c r="AT773" s="88"/>
      <c r="AU773" s="88"/>
      <c r="AV773" s="88"/>
      <c r="AW773" s="88"/>
      <c r="AX773" s="88"/>
      <c r="AY773" s="88"/>
      <c r="AZ773" s="88"/>
      <c r="BA773" s="88"/>
      <c r="BB773" s="88"/>
      <c r="BC773" s="88"/>
      <c r="BD773" s="88"/>
    </row>
    <row r="774" spans="1:56" ht="12.55" x14ac:dyDescent="0.2">
      <c r="A774" s="88"/>
      <c r="B774" s="88"/>
      <c r="C774" s="88"/>
      <c r="D774" s="88"/>
      <c r="E774" s="88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88"/>
      <c r="AL774" s="88"/>
      <c r="AM774" s="88"/>
      <c r="AN774" s="88"/>
      <c r="AO774" s="88"/>
      <c r="AP774" s="88"/>
      <c r="AQ774" s="88"/>
      <c r="AR774" s="88"/>
      <c r="AS774" s="88"/>
      <c r="AT774" s="88"/>
      <c r="AU774" s="88"/>
      <c r="AV774" s="88"/>
      <c r="AW774" s="88"/>
      <c r="AX774" s="88"/>
      <c r="AY774" s="88"/>
      <c r="AZ774" s="88"/>
      <c r="BA774" s="88"/>
      <c r="BB774" s="88"/>
      <c r="BC774" s="88"/>
      <c r="BD774" s="88"/>
    </row>
    <row r="775" spans="1:56" ht="12.55" x14ac:dyDescent="0.2">
      <c r="A775" s="88"/>
      <c r="B775" s="88"/>
      <c r="C775" s="88"/>
      <c r="D775" s="88"/>
      <c r="E775" s="88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88"/>
      <c r="AL775" s="88"/>
      <c r="AM775" s="88"/>
      <c r="AN775" s="88"/>
      <c r="AO775" s="88"/>
      <c r="AP775" s="88"/>
      <c r="AQ775" s="88"/>
      <c r="AR775" s="88"/>
      <c r="AS775" s="88"/>
      <c r="AT775" s="88"/>
      <c r="AU775" s="88"/>
      <c r="AV775" s="88"/>
      <c r="AW775" s="88"/>
      <c r="AX775" s="88"/>
      <c r="AY775" s="88"/>
      <c r="AZ775" s="88"/>
      <c r="BA775" s="88"/>
      <c r="BB775" s="88"/>
      <c r="BC775" s="88"/>
      <c r="BD775" s="88"/>
    </row>
    <row r="776" spans="1:56" ht="12.55" x14ac:dyDescent="0.2">
      <c r="A776" s="88"/>
      <c r="B776" s="88"/>
      <c r="C776" s="88"/>
      <c r="D776" s="88"/>
      <c r="E776" s="88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88"/>
      <c r="AL776" s="88"/>
      <c r="AM776" s="88"/>
      <c r="AN776" s="88"/>
      <c r="AO776" s="88"/>
      <c r="AP776" s="88"/>
      <c r="AQ776" s="88"/>
      <c r="AR776" s="88"/>
      <c r="AS776" s="88"/>
      <c r="AT776" s="88"/>
      <c r="AU776" s="88"/>
      <c r="AV776" s="88"/>
      <c r="AW776" s="88"/>
      <c r="AX776" s="88"/>
      <c r="AY776" s="88"/>
      <c r="AZ776" s="88"/>
      <c r="BA776" s="88"/>
      <c r="BB776" s="88"/>
      <c r="BC776" s="88"/>
      <c r="BD776" s="88"/>
    </row>
    <row r="777" spans="1:56" ht="12.55" x14ac:dyDescent="0.2">
      <c r="A777" s="88"/>
      <c r="B777" s="88"/>
      <c r="C777" s="88"/>
      <c r="D777" s="88"/>
      <c r="E777" s="88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88"/>
      <c r="AL777" s="88"/>
      <c r="AM777" s="88"/>
      <c r="AN777" s="88"/>
      <c r="AO777" s="88"/>
      <c r="AP777" s="88"/>
      <c r="AQ777" s="88"/>
      <c r="AR777" s="88"/>
      <c r="AS777" s="88"/>
      <c r="AT777" s="88"/>
      <c r="AU777" s="88"/>
      <c r="AV777" s="88"/>
      <c r="AW777" s="88"/>
      <c r="AX777" s="88"/>
      <c r="AY777" s="88"/>
      <c r="AZ777" s="88"/>
      <c r="BA777" s="88"/>
      <c r="BB777" s="88"/>
      <c r="BC777" s="88"/>
      <c r="BD777" s="88"/>
    </row>
    <row r="778" spans="1:56" ht="12.55" x14ac:dyDescent="0.2">
      <c r="A778" s="88"/>
      <c r="B778" s="88"/>
      <c r="C778" s="88"/>
      <c r="D778" s="88"/>
      <c r="E778" s="88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88"/>
      <c r="AL778" s="88"/>
      <c r="AM778" s="88"/>
      <c r="AN778" s="88"/>
      <c r="AO778" s="88"/>
      <c r="AP778" s="88"/>
      <c r="AQ778" s="88"/>
      <c r="AR778" s="88"/>
      <c r="AS778" s="88"/>
      <c r="AT778" s="88"/>
      <c r="AU778" s="88"/>
      <c r="AV778" s="88"/>
      <c r="AW778" s="88"/>
      <c r="AX778" s="88"/>
      <c r="AY778" s="88"/>
      <c r="AZ778" s="88"/>
      <c r="BA778" s="88"/>
      <c r="BB778" s="88"/>
      <c r="BC778" s="88"/>
      <c r="BD778" s="88"/>
    </row>
    <row r="779" spans="1:56" ht="12.55" x14ac:dyDescent="0.2">
      <c r="A779" s="88"/>
      <c r="B779" s="88"/>
      <c r="C779" s="88"/>
      <c r="D779" s="88"/>
      <c r="E779" s="88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88"/>
      <c r="AL779" s="88"/>
      <c r="AM779" s="88"/>
      <c r="AN779" s="88"/>
      <c r="AO779" s="88"/>
      <c r="AP779" s="88"/>
      <c r="AQ779" s="88"/>
      <c r="AR779" s="88"/>
      <c r="AS779" s="88"/>
      <c r="AT779" s="88"/>
      <c r="AU779" s="88"/>
      <c r="AV779" s="88"/>
      <c r="AW779" s="88"/>
      <c r="AX779" s="88"/>
      <c r="AY779" s="88"/>
      <c r="AZ779" s="88"/>
      <c r="BA779" s="88"/>
      <c r="BB779" s="88"/>
      <c r="BC779" s="88"/>
      <c r="BD779" s="88"/>
    </row>
    <row r="780" spans="1:56" ht="12.55" x14ac:dyDescent="0.2">
      <c r="A780" s="88"/>
      <c r="B780" s="88"/>
      <c r="C780" s="88"/>
      <c r="D780" s="88"/>
      <c r="E780" s="88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88"/>
      <c r="AL780" s="88"/>
      <c r="AM780" s="88"/>
      <c r="AN780" s="88"/>
      <c r="AO780" s="88"/>
      <c r="AP780" s="88"/>
      <c r="AQ780" s="88"/>
      <c r="AR780" s="88"/>
      <c r="AS780" s="88"/>
      <c r="AT780" s="88"/>
      <c r="AU780" s="88"/>
      <c r="AV780" s="88"/>
      <c r="AW780" s="88"/>
      <c r="AX780" s="88"/>
      <c r="AY780" s="88"/>
      <c r="AZ780" s="88"/>
      <c r="BA780" s="88"/>
      <c r="BB780" s="88"/>
      <c r="BC780" s="88"/>
      <c r="BD780" s="88"/>
    </row>
    <row r="781" spans="1:56" ht="12.55" x14ac:dyDescent="0.2">
      <c r="A781" s="88"/>
      <c r="B781" s="88"/>
      <c r="C781" s="88"/>
      <c r="D781" s="88"/>
      <c r="E781" s="88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88"/>
      <c r="AL781" s="88"/>
      <c r="AM781" s="88"/>
      <c r="AN781" s="88"/>
      <c r="AO781" s="88"/>
      <c r="AP781" s="88"/>
      <c r="AQ781" s="88"/>
      <c r="AR781" s="88"/>
      <c r="AS781" s="88"/>
      <c r="AT781" s="88"/>
      <c r="AU781" s="88"/>
      <c r="AV781" s="88"/>
      <c r="AW781" s="88"/>
      <c r="AX781" s="88"/>
      <c r="AY781" s="88"/>
      <c r="AZ781" s="88"/>
      <c r="BA781" s="88"/>
      <c r="BB781" s="88"/>
      <c r="BC781" s="88"/>
      <c r="BD781" s="88"/>
    </row>
    <row r="782" spans="1:56" ht="12.55" x14ac:dyDescent="0.2">
      <c r="A782" s="88"/>
      <c r="B782" s="88"/>
      <c r="C782" s="88"/>
      <c r="D782" s="88"/>
      <c r="E782" s="88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88"/>
      <c r="AL782" s="88"/>
      <c r="AM782" s="88"/>
      <c r="AN782" s="88"/>
      <c r="AO782" s="88"/>
      <c r="AP782" s="88"/>
      <c r="AQ782" s="88"/>
      <c r="AR782" s="88"/>
      <c r="AS782" s="88"/>
      <c r="AT782" s="88"/>
      <c r="AU782" s="88"/>
      <c r="AV782" s="88"/>
      <c r="AW782" s="88"/>
      <c r="AX782" s="88"/>
      <c r="AY782" s="88"/>
      <c r="AZ782" s="88"/>
      <c r="BA782" s="88"/>
      <c r="BB782" s="88"/>
      <c r="BC782" s="88"/>
      <c r="BD782" s="88"/>
    </row>
    <row r="783" spans="1:56" ht="12.55" x14ac:dyDescent="0.2">
      <c r="A783" s="88"/>
      <c r="B783" s="88"/>
      <c r="C783" s="88"/>
      <c r="D783" s="88"/>
      <c r="E783" s="88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88"/>
      <c r="AL783" s="88"/>
      <c r="AM783" s="88"/>
      <c r="AN783" s="88"/>
      <c r="AO783" s="88"/>
      <c r="AP783" s="88"/>
      <c r="AQ783" s="88"/>
      <c r="AR783" s="88"/>
      <c r="AS783" s="88"/>
      <c r="AT783" s="88"/>
      <c r="AU783" s="88"/>
      <c r="AV783" s="88"/>
      <c r="AW783" s="88"/>
      <c r="AX783" s="88"/>
      <c r="AY783" s="88"/>
      <c r="AZ783" s="88"/>
      <c r="BA783" s="88"/>
      <c r="BB783" s="88"/>
      <c r="BC783" s="88"/>
      <c r="BD783" s="88"/>
    </row>
    <row r="784" spans="1:56" ht="12.55" x14ac:dyDescent="0.2">
      <c r="A784" s="88"/>
      <c r="B784" s="88"/>
      <c r="C784" s="88"/>
      <c r="D784" s="88"/>
      <c r="E784" s="88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88"/>
      <c r="AL784" s="88"/>
      <c r="AM784" s="88"/>
      <c r="AN784" s="88"/>
      <c r="AO784" s="88"/>
      <c r="AP784" s="88"/>
      <c r="AQ784" s="88"/>
      <c r="AR784" s="88"/>
      <c r="AS784" s="88"/>
      <c r="AT784" s="88"/>
      <c r="AU784" s="88"/>
      <c r="AV784" s="88"/>
      <c r="AW784" s="88"/>
      <c r="AX784" s="88"/>
      <c r="AY784" s="88"/>
      <c r="AZ784" s="88"/>
      <c r="BA784" s="88"/>
      <c r="BB784" s="88"/>
      <c r="BC784" s="88"/>
      <c r="BD784" s="88"/>
    </row>
    <row r="785" spans="1:56" ht="12.55" x14ac:dyDescent="0.2">
      <c r="A785" s="88"/>
      <c r="B785" s="88"/>
      <c r="C785" s="88"/>
      <c r="D785" s="88"/>
      <c r="E785" s="88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88"/>
      <c r="AL785" s="88"/>
      <c r="AM785" s="88"/>
      <c r="AN785" s="88"/>
      <c r="AO785" s="88"/>
      <c r="AP785" s="88"/>
      <c r="AQ785" s="88"/>
      <c r="AR785" s="88"/>
      <c r="AS785" s="88"/>
      <c r="AT785" s="88"/>
      <c r="AU785" s="88"/>
      <c r="AV785" s="88"/>
      <c r="AW785" s="88"/>
      <c r="AX785" s="88"/>
      <c r="AY785" s="88"/>
      <c r="AZ785" s="88"/>
      <c r="BA785" s="88"/>
      <c r="BB785" s="88"/>
      <c r="BC785" s="88"/>
      <c r="BD785" s="88"/>
    </row>
    <row r="786" spans="1:56" ht="12.55" x14ac:dyDescent="0.2">
      <c r="A786" s="88"/>
      <c r="B786" s="88"/>
      <c r="C786" s="88"/>
      <c r="D786" s="88"/>
      <c r="E786" s="88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88"/>
      <c r="AL786" s="88"/>
      <c r="AM786" s="88"/>
      <c r="AN786" s="88"/>
      <c r="AO786" s="88"/>
      <c r="AP786" s="88"/>
      <c r="AQ786" s="88"/>
      <c r="AR786" s="88"/>
      <c r="AS786" s="88"/>
      <c r="AT786" s="88"/>
      <c r="AU786" s="88"/>
      <c r="AV786" s="88"/>
      <c r="AW786" s="88"/>
      <c r="AX786" s="88"/>
      <c r="AY786" s="88"/>
      <c r="AZ786" s="88"/>
      <c r="BA786" s="88"/>
      <c r="BB786" s="88"/>
      <c r="BC786" s="88"/>
      <c r="BD786" s="88"/>
    </row>
    <row r="787" spans="1:56" ht="12.55" x14ac:dyDescent="0.2">
      <c r="A787" s="88"/>
      <c r="B787" s="88"/>
      <c r="C787" s="88"/>
      <c r="D787" s="88"/>
      <c r="E787" s="88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88"/>
      <c r="AL787" s="88"/>
      <c r="AM787" s="88"/>
      <c r="AN787" s="88"/>
      <c r="AO787" s="88"/>
      <c r="AP787" s="88"/>
      <c r="AQ787" s="88"/>
      <c r="AR787" s="88"/>
      <c r="AS787" s="88"/>
      <c r="AT787" s="88"/>
      <c r="AU787" s="88"/>
      <c r="AV787" s="88"/>
      <c r="AW787" s="88"/>
      <c r="AX787" s="88"/>
      <c r="AY787" s="88"/>
      <c r="AZ787" s="88"/>
      <c r="BA787" s="88"/>
      <c r="BB787" s="88"/>
      <c r="BC787" s="88"/>
      <c r="BD787" s="88"/>
    </row>
    <row r="788" spans="1:56" ht="12.55" x14ac:dyDescent="0.2">
      <c r="A788" s="88"/>
      <c r="B788" s="88"/>
      <c r="C788" s="88"/>
      <c r="D788" s="88"/>
      <c r="E788" s="88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88"/>
      <c r="AL788" s="88"/>
      <c r="AM788" s="88"/>
      <c r="AN788" s="88"/>
      <c r="AO788" s="88"/>
      <c r="AP788" s="88"/>
      <c r="AQ788" s="88"/>
      <c r="AR788" s="88"/>
      <c r="AS788" s="88"/>
      <c r="AT788" s="88"/>
      <c r="AU788" s="88"/>
      <c r="AV788" s="88"/>
      <c r="AW788" s="88"/>
      <c r="AX788" s="88"/>
      <c r="AY788" s="88"/>
      <c r="AZ788" s="88"/>
      <c r="BA788" s="88"/>
      <c r="BB788" s="88"/>
      <c r="BC788" s="88"/>
      <c r="BD788" s="88"/>
    </row>
    <row r="789" spans="1:56" ht="12.55" x14ac:dyDescent="0.2">
      <c r="A789" s="88"/>
      <c r="B789" s="88"/>
      <c r="C789" s="88"/>
      <c r="D789" s="88"/>
      <c r="E789" s="88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88"/>
      <c r="AL789" s="88"/>
      <c r="AM789" s="88"/>
      <c r="AN789" s="88"/>
      <c r="AO789" s="88"/>
      <c r="AP789" s="88"/>
      <c r="AQ789" s="88"/>
      <c r="AR789" s="88"/>
      <c r="AS789" s="88"/>
      <c r="AT789" s="88"/>
      <c r="AU789" s="88"/>
      <c r="AV789" s="88"/>
      <c r="AW789" s="88"/>
      <c r="AX789" s="88"/>
      <c r="AY789" s="88"/>
      <c r="AZ789" s="88"/>
      <c r="BA789" s="88"/>
      <c r="BB789" s="88"/>
      <c r="BC789" s="88"/>
      <c r="BD789" s="88"/>
    </row>
    <row r="790" spans="1:56" ht="12.55" x14ac:dyDescent="0.2">
      <c r="A790" s="88"/>
      <c r="B790" s="88"/>
      <c r="C790" s="88"/>
      <c r="D790" s="88"/>
      <c r="E790" s="88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88"/>
      <c r="AL790" s="88"/>
      <c r="AM790" s="88"/>
      <c r="AN790" s="88"/>
      <c r="AO790" s="88"/>
      <c r="AP790" s="88"/>
      <c r="AQ790" s="88"/>
      <c r="AR790" s="88"/>
      <c r="AS790" s="88"/>
      <c r="AT790" s="88"/>
      <c r="AU790" s="88"/>
      <c r="AV790" s="88"/>
      <c r="AW790" s="88"/>
      <c r="AX790" s="88"/>
      <c r="AY790" s="88"/>
      <c r="AZ790" s="88"/>
      <c r="BA790" s="88"/>
      <c r="BB790" s="88"/>
      <c r="BC790" s="88"/>
      <c r="BD790" s="88"/>
    </row>
    <row r="791" spans="1:56" ht="12.55" x14ac:dyDescent="0.2">
      <c r="A791" s="88"/>
      <c r="B791" s="88"/>
      <c r="C791" s="88"/>
      <c r="D791" s="88"/>
      <c r="E791" s="88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88"/>
      <c r="AL791" s="88"/>
      <c r="AM791" s="88"/>
      <c r="AN791" s="88"/>
      <c r="AO791" s="88"/>
      <c r="AP791" s="88"/>
      <c r="AQ791" s="88"/>
      <c r="AR791" s="88"/>
      <c r="AS791" s="88"/>
      <c r="AT791" s="88"/>
      <c r="AU791" s="88"/>
      <c r="AV791" s="88"/>
      <c r="AW791" s="88"/>
      <c r="AX791" s="88"/>
      <c r="AY791" s="88"/>
      <c r="AZ791" s="88"/>
      <c r="BA791" s="88"/>
      <c r="BB791" s="88"/>
      <c r="BC791" s="88"/>
      <c r="BD791" s="88"/>
    </row>
    <row r="792" spans="1:56" ht="12.55" x14ac:dyDescent="0.2">
      <c r="A792" s="88"/>
      <c r="B792" s="88"/>
      <c r="C792" s="88"/>
      <c r="D792" s="88"/>
      <c r="E792" s="88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88"/>
      <c r="AL792" s="88"/>
      <c r="AM792" s="88"/>
      <c r="AN792" s="88"/>
      <c r="AO792" s="88"/>
      <c r="AP792" s="88"/>
      <c r="AQ792" s="88"/>
      <c r="AR792" s="88"/>
      <c r="AS792" s="88"/>
      <c r="AT792" s="88"/>
      <c r="AU792" s="88"/>
      <c r="AV792" s="88"/>
      <c r="AW792" s="88"/>
      <c r="AX792" s="88"/>
      <c r="AY792" s="88"/>
      <c r="AZ792" s="88"/>
      <c r="BA792" s="88"/>
      <c r="BB792" s="88"/>
      <c r="BC792" s="88"/>
      <c r="BD792" s="88"/>
    </row>
    <row r="793" spans="1:56" ht="12.55" x14ac:dyDescent="0.2">
      <c r="A793" s="88"/>
      <c r="B793" s="88"/>
      <c r="C793" s="88"/>
      <c r="D793" s="88"/>
      <c r="E793" s="88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88"/>
      <c r="AL793" s="88"/>
      <c r="AM793" s="88"/>
      <c r="AN793" s="88"/>
      <c r="AO793" s="88"/>
      <c r="AP793" s="88"/>
      <c r="AQ793" s="88"/>
      <c r="AR793" s="88"/>
      <c r="AS793" s="88"/>
      <c r="AT793" s="88"/>
      <c r="AU793" s="88"/>
      <c r="AV793" s="88"/>
      <c r="AW793" s="88"/>
      <c r="AX793" s="88"/>
      <c r="AY793" s="88"/>
      <c r="AZ793" s="88"/>
      <c r="BA793" s="88"/>
      <c r="BB793" s="88"/>
      <c r="BC793" s="88"/>
      <c r="BD793" s="88"/>
    </row>
    <row r="794" spans="1:56" ht="12.55" x14ac:dyDescent="0.2">
      <c r="A794" s="88"/>
      <c r="B794" s="88"/>
      <c r="C794" s="88"/>
      <c r="D794" s="88"/>
      <c r="E794" s="88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88"/>
      <c r="AL794" s="88"/>
      <c r="AM794" s="88"/>
      <c r="AN794" s="88"/>
      <c r="AO794" s="88"/>
      <c r="AP794" s="88"/>
      <c r="AQ794" s="88"/>
      <c r="AR794" s="88"/>
      <c r="AS794" s="88"/>
      <c r="AT794" s="88"/>
      <c r="AU794" s="88"/>
      <c r="AV794" s="88"/>
      <c r="AW794" s="88"/>
      <c r="AX794" s="88"/>
      <c r="AY794" s="88"/>
      <c r="AZ794" s="88"/>
      <c r="BA794" s="88"/>
      <c r="BB794" s="88"/>
      <c r="BC794" s="88"/>
      <c r="BD794" s="88"/>
    </row>
    <row r="795" spans="1:56" ht="12.55" x14ac:dyDescent="0.2">
      <c r="A795" s="88"/>
      <c r="B795" s="88"/>
      <c r="C795" s="88"/>
      <c r="D795" s="88"/>
      <c r="E795" s="88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88"/>
      <c r="AL795" s="88"/>
      <c r="AM795" s="88"/>
      <c r="AN795" s="88"/>
      <c r="AO795" s="88"/>
      <c r="AP795" s="88"/>
      <c r="AQ795" s="88"/>
      <c r="AR795" s="88"/>
      <c r="AS795" s="88"/>
      <c r="AT795" s="88"/>
      <c r="AU795" s="88"/>
      <c r="AV795" s="88"/>
      <c r="AW795" s="88"/>
      <c r="AX795" s="88"/>
      <c r="AY795" s="88"/>
      <c r="AZ795" s="88"/>
      <c r="BA795" s="88"/>
      <c r="BB795" s="88"/>
      <c r="BC795" s="88"/>
      <c r="BD795" s="88"/>
    </row>
    <row r="796" spans="1:56" ht="12.55" x14ac:dyDescent="0.2">
      <c r="A796" s="88"/>
      <c r="B796" s="88"/>
      <c r="C796" s="88"/>
      <c r="D796" s="88"/>
      <c r="E796" s="88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88"/>
      <c r="AL796" s="88"/>
      <c r="AM796" s="88"/>
      <c r="AN796" s="88"/>
      <c r="AO796" s="88"/>
      <c r="AP796" s="88"/>
      <c r="AQ796" s="88"/>
      <c r="AR796" s="88"/>
      <c r="AS796" s="88"/>
      <c r="AT796" s="88"/>
      <c r="AU796" s="88"/>
      <c r="AV796" s="88"/>
      <c r="AW796" s="88"/>
      <c r="AX796" s="88"/>
      <c r="AY796" s="88"/>
      <c r="AZ796" s="88"/>
      <c r="BA796" s="88"/>
      <c r="BB796" s="88"/>
      <c r="BC796" s="88"/>
      <c r="BD796" s="88"/>
    </row>
    <row r="797" spans="1:56" ht="12.55" x14ac:dyDescent="0.2">
      <c r="A797" s="88"/>
      <c r="B797" s="88"/>
      <c r="C797" s="88"/>
      <c r="D797" s="88"/>
      <c r="E797" s="88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88"/>
      <c r="AL797" s="88"/>
      <c r="AM797" s="88"/>
      <c r="AN797" s="88"/>
      <c r="AO797" s="88"/>
      <c r="AP797" s="88"/>
      <c r="AQ797" s="88"/>
      <c r="AR797" s="88"/>
      <c r="AS797" s="88"/>
      <c r="AT797" s="88"/>
      <c r="AU797" s="88"/>
      <c r="AV797" s="88"/>
      <c r="AW797" s="88"/>
      <c r="AX797" s="88"/>
      <c r="AY797" s="88"/>
      <c r="AZ797" s="88"/>
      <c r="BA797" s="88"/>
      <c r="BB797" s="88"/>
      <c r="BC797" s="88"/>
      <c r="BD797" s="88"/>
    </row>
    <row r="798" spans="1:56" ht="12.55" x14ac:dyDescent="0.2">
      <c r="A798" s="88"/>
      <c r="B798" s="88"/>
      <c r="C798" s="88"/>
      <c r="D798" s="88"/>
      <c r="E798" s="88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88"/>
      <c r="AL798" s="88"/>
      <c r="AM798" s="88"/>
      <c r="AN798" s="88"/>
      <c r="AO798" s="88"/>
      <c r="AP798" s="88"/>
      <c r="AQ798" s="88"/>
      <c r="AR798" s="88"/>
      <c r="AS798" s="88"/>
      <c r="AT798" s="88"/>
      <c r="AU798" s="88"/>
      <c r="AV798" s="88"/>
      <c r="AW798" s="88"/>
      <c r="AX798" s="88"/>
      <c r="AY798" s="88"/>
      <c r="AZ798" s="88"/>
      <c r="BA798" s="88"/>
      <c r="BB798" s="88"/>
      <c r="BC798" s="88"/>
      <c r="BD798" s="88"/>
    </row>
    <row r="799" spans="1:56" ht="12.55" x14ac:dyDescent="0.2">
      <c r="A799" s="88"/>
      <c r="B799" s="88"/>
      <c r="C799" s="88"/>
      <c r="D799" s="88"/>
      <c r="E799" s="88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88"/>
      <c r="AL799" s="88"/>
      <c r="AM799" s="88"/>
      <c r="AN799" s="88"/>
      <c r="AO799" s="88"/>
      <c r="AP799" s="88"/>
      <c r="AQ799" s="88"/>
      <c r="AR799" s="88"/>
      <c r="AS799" s="88"/>
      <c r="AT799" s="88"/>
      <c r="AU799" s="88"/>
      <c r="AV799" s="88"/>
      <c r="AW799" s="88"/>
      <c r="AX799" s="88"/>
      <c r="AY799" s="88"/>
      <c r="AZ799" s="88"/>
      <c r="BA799" s="88"/>
      <c r="BB799" s="88"/>
      <c r="BC799" s="88"/>
      <c r="BD799" s="88"/>
    </row>
    <row r="800" spans="1:56" ht="12.55" x14ac:dyDescent="0.2">
      <c r="A800" s="88"/>
      <c r="B800" s="88"/>
      <c r="C800" s="88"/>
      <c r="D800" s="88"/>
      <c r="E800" s="88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88"/>
      <c r="AL800" s="88"/>
      <c r="AM800" s="88"/>
      <c r="AN800" s="88"/>
      <c r="AO800" s="88"/>
      <c r="AP800" s="88"/>
      <c r="AQ800" s="88"/>
      <c r="AR800" s="88"/>
      <c r="AS800" s="88"/>
      <c r="AT800" s="88"/>
      <c r="AU800" s="88"/>
      <c r="AV800" s="88"/>
      <c r="AW800" s="88"/>
      <c r="AX800" s="88"/>
      <c r="AY800" s="88"/>
      <c r="AZ800" s="88"/>
      <c r="BA800" s="88"/>
      <c r="BB800" s="88"/>
      <c r="BC800" s="88"/>
      <c r="BD800" s="88"/>
    </row>
    <row r="801" spans="1:56" ht="12.55" x14ac:dyDescent="0.2">
      <c r="A801" s="88"/>
      <c r="B801" s="88"/>
      <c r="C801" s="88"/>
      <c r="D801" s="88"/>
      <c r="E801" s="88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88"/>
      <c r="AL801" s="88"/>
      <c r="AM801" s="88"/>
      <c r="AN801" s="88"/>
      <c r="AO801" s="88"/>
      <c r="AP801" s="88"/>
      <c r="AQ801" s="88"/>
      <c r="AR801" s="88"/>
      <c r="AS801" s="88"/>
      <c r="AT801" s="88"/>
      <c r="AU801" s="88"/>
      <c r="AV801" s="88"/>
      <c r="AW801" s="88"/>
      <c r="AX801" s="88"/>
      <c r="AY801" s="88"/>
      <c r="AZ801" s="88"/>
      <c r="BA801" s="88"/>
      <c r="BB801" s="88"/>
      <c r="BC801" s="88"/>
      <c r="BD801" s="88"/>
    </row>
    <row r="802" spans="1:56" ht="12.55" x14ac:dyDescent="0.2">
      <c r="A802" s="88"/>
      <c r="B802" s="88"/>
      <c r="C802" s="88"/>
      <c r="D802" s="88"/>
      <c r="E802" s="88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88"/>
      <c r="AL802" s="88"/>
      <c r="AM802" s="88"/>
      <c r="AN802" s="88"/>
      <c r="AO802" s="88"/>
      <c r="AP802" s="88"/>
      <c r="AQ802" s="88"/>
      <c r="AR802" s="88"/>
      <c r="AS802" s="88"/>
      <c r="AT802" s="88"/>
      <c r="AU802" s="88"/>
      <c r="AV802" s="88"/>
      <c r="AW802" s="88"/>
      <c r="AX802" s="88"/>
      <c r="AY802" s="88"/>
      <c r="AZ802" s="88"/>
      <c r="BA802" s="88"/>
      <c r="BB802" s="88"/>
      <c r="BC802" s="88"/>
      <c r="BD802" s="88"/>
    </row>
    <row r="803" spans="1:56" ht="12.55" x14ac:dyDescent="0.2">
      <c r="A803" s="88"/>
      <c r="B803" s="88"/>
      <c r="C803" s="88"/>
      <c r="D803" s="88"/>
      <c r="E803" s="88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88"/>
      <c r="AL803" s="88"/>
      <c r="AM803" s="88"/>
      <c r="AN803" s="88"/>
      <c r="AO803" s="88"/>
      <c r="AP803" s="88"/>
      <c r="AQ803" s="88"/>
      <c r="AR803" s="88"/>
      <c r="AS803" s="88"/>
      <c r="AT803" s="88"/>
      <c r="AU803" s="88"/>
      <c r="AV803" s="88"/>
      <c r="AW803" s="88"/>
      <c r="AX803" s="88"/>
      <c r="AY803" s="88"/>
      <c r="AZ803" s="88"/>
      <c r="BA803" s="88"/>
      <c r="BB803" s="88"/>
      <c r="BC803" s="88"/>
      <c r="BD803" s="88"/>
    </row>
    <row r="804" spans="1:56" ht="12.55" x14ac:dyDescent="0.2">
      <c r="A804" s="88"/>
      <c r="B804" s="88"/>
      <c r="C804" s="88"/>
      <c r="D804" s="88"/>
      <c r="E804" s="88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88"/>
      <c r="AL804" s="88"/>
      <c r="AM804" s="88"/>
      <c r="AN804" s="88"/>
      <c r="AO804" s="88"/>
      <c r="AP804" s="88"/>
      <c r="AQ804" s="88"/>
      <c r="AR804" s="88"/>
      <c r="AS804" s="88"/>
      <c r="AT804" s="88"/>
      <c r="AU804" s="88"/>
      <c r="AV804" s="88"/>
      <c r="AW804" s="88"/>
      <c r="AX804" s="88"/>
      <c r="AY804" s="88"/>
      <c r="AZ804" s="88"/>
      <c r="BA804" s="88"/>
      <c r="BB804" s="88"/>
      <c r="BC804" s="88"/>
      <c r="BD804" s="88"/>
    </row>
    <row r="805" spans="1:56" ht="12.55" x14ac:dyDescent="0.2">
      <c r="A805" s="88"/>
      <c r="B805" s="88"/>
      <c r="C805" s="88"/>
      <c r="D805" s="88"/>
      <c r="E805" s="88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88"/>
      <c r="AL805" s="88"/>
      <c r="AM805" s="88"/>
      <c r="AN805" s="88"/>
      <c r="AO805" s="88"/>
      <c r="AP805" s="88"/>
      <c r="AQ805" s="88"/>
      <c r="AR805" s="88"/>
      <c r="AS805" s="88"/>
      <c r="AT805" s="88"/>
      <c r="AU805" s="88"/>
      <c r="AV805" s="88"/>
      <c r="AW805" s="88"/>
      <c r="AX805" s="88"/>
      <c r="AY805" s="88"/>
      <c r="AZ805" s="88"/>
      <c r="BA805" s="88"/>
      <c r="BB805" s="88"/>
      <c r="BC805" s="88"/>
      <c r="BD805" s="88"/>
    </row>
    <row r="806" spans="1:56" ht="12.55" x14ac:dyDescent="0.2">
      <c r="A806" s="88"/>
      <c r="B806" s="88"/>
      <c r="C806" s="88"/>
      <c r="D806" s="88"/>
      <c r="E806" s="88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88"/>
      <c r="AL806" s="88"/>
      <c r="AM806" s="88"/>
      <c r="AN806" s="88"/>
      <c r="AO806" s="88"/>
      <c r="AP806" s="88"/>
      <c r="AQ806" s="88"/>
      <c r="AR806" s="88"/>
      <c r="AS806" s="88"/>
      <c r="AT806" s="88"/>
      <c r="AU806" s="88"/>
      <c r="AV806" s="88"/>
      <c r="AW806" s="88"/>
      <c r="AX806" s="88"/>
      <c r="AY806" s="88"/>
      <c r="AZ806" s="88"/>
      <c r="BA806" s="88"/>
      <c r="BB806" s="88"/>
      <c r="BC806" s="88"/>
      <c r="BD806" s="88"/>
    </row>
    <row r="807" spans="1:56" ht="12.55" x14ac:dyDescent="0.2">
      <c r="A807" s="88"/>
      <c r="B807" s="88"/>
      <c r="C807" s="88"/>
      <c r="D807" s="88"/>
      <c r="E807" s="88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88"/>
      <c r="AL807" s="88"/>
      <c r="AM807" s="88"/>
      <c r="AN807" s="88"/>
      <c r="AO807" s="88"/>
      <c r="AP807" s="88"/>
      <c r="AQ807" s="88"/>
      <c r="AR807" s="88"/>
      <c r="AS807" s="88"/>
      <c r="AT807" s="88"/>
      <c r="AU807" s="88"/>
      <c r="AV807" s="88"/>
      <c r="AW807" s="88"/>
      <c r="AX807" s="88"/>
      <c r="AY807" s="88"/>
      <c r="AZ807" s="88"/>
      <c r="BA807" s="88"/>
      <c r="BB807" s="88"/>
      <c r="BC807" s="88"/>
      <c r="BD807" s="88"/>
    </row>
    <row r="808" spans="1:56" ht="12.55" x14ac:dyDescent="0.2">
      <c r="A808" s="88"/>
      <c r="B808" s="88"/>
      <c r="C808" s="88"/>
      <c r="D808" s="88"/>
      <c r="E808" s="88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88"/>
      <c r="AL808" s="88"/>
      <c r="AM808" s="88"/>
      <c r="AN808" s="88"/>
      <c r="AO808" s="88"/>
      <c r="AP808" s="88"/>
      <c r="AQ808" s="88"/>
      <c r="AR808" s="88"/>
      <c r="AS808" s="88"/>
      <c r="AT808" s="88"/>
      <c r="AU808" s="88"/>
      <c r="AV808" s="88"/>
      <c r="AW808" s="88"/>
      <c r="AX808" s="88"/>
      <c r="AY808" s="88"/>
      <c r="AZ808" s="88"/>
      <c r="BA808" s="88"/>
      <c r="BB808" s="88"/>
      <c r="BC808" s="88"/>
      <c r="BD808" s="88"/>
    </row>
    <row r="809" spans="1:56" ht="12.55" x14ac:dyDescent="0.2">
      <c r="A809" s="88"/>
      <c r="B809" s="88"/>
      <c r="C809" s="88"/>
      <c r="D809" s="88"/>
      <c r="E809" s="88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88"/>
      <c r="AL809" s="88"/>
      <c r="AM809" s="88"/>
      <c r="AN809" s="88"/>
      <c r="AO809" s="88"/>
      <c r="AP809" s="88"/>
      <c r="AQ809" s="88"/>
      <c r="AR809" s="88"/>
      <c r="AS809" s="88"/>
      <c r="AT809" s="88"/>
      <c r="AU809" s="88"/>
      <c r="AV809" s="88"/>
      <c r="AW809" s="88"/>
      <c r="AX809" s="88"/>
      <c r="AY809" s="88"/>
      <c r="AZ809" s="88"/>
      <c r="BA809" s="88"/>
      <c r="BB809" s="88"/>
      <c r="BC809" s="88"/>
      <c r="BD809" s="88"/>
    </row>
    <row r="810" spans="1:56" ht="12.55" x14ac:dyDescent="0.2">
      <c r="A810" s="88"/>
      <c r="B810" s="88"/>
      <c r="C810" s="88"/>
      <c r="D810" s="88"/>
      <c r="E810" s="88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88"/>
      <c r="AL810" s="88"/>
      <c r="AM810" s="88"/>
      <c r="AN810" s="88"/>
      <c r="AO810" s="88"/>
      <c r="AP810" s="88"/>
      <c r="AQ810" s="88"/>
      <c r="AR810" s="88"/>
      <c r="AS810" s="88"/>
      <c r="AT810" s="88"/>
      <c r="AU810" s="88"/>
      <c r="AV810" s="88"/>
      <c r="AW810" s="88"/>
      <c r="AX810" s="88"/>
      <c r="AY810" s="88"/>
      <c r="AZ810" s="88"/>
      <c r="BA810" s="88"/>
      <c r="BB810" s="88"/>
      <c r="BC810" s="88"/>
      <c r="BD810" s="88"/>
    </row>
    <row r="811" spans="1:56" ht="12.55" x14ac:dyDescent="0.2">
      <c r="A811" s="88"/>
      <c r="B811" s="88"/>
      <c r="C811" s="88"/>
      <c r="D811" s="88"/>
      <c r="E811" s="88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88"/>
      <c r="AL811" s="88"/>
      <c r="AM811" s="88"/>
      <c r="AN811" s="88"/>
      <c r="AO811" s="88"/>
      <c r="AP811" s="88"/>
      <c r="AQ811" s="88"/>
      <c r="AR811" s="88"/>
      <c r="AS811" s="88"/>
      <c r="AT811" s="88"/>
      <c r="AU811" s="88"/>
      <c r="AV811" s="88"/>
      <c r="AW811" s="88"/>
      <c r="AX811" s="88"/>
      <c r="AY811" s="88"/>
      <c r="AZ811" s="88"/>
      <c r="BA811" s="88"/>
      <c r="BB811" s="88"/>
      <c r="BC811" s="88"/>
      <c r="BD811" s="88"/>
    </row>
    <row r="812" spans="1:56" ht="12.55" x14ac:dyDescent="0.2">
      <c r="A812" s="88"/>
      <c r="B812" s="88"/>
      <c r="C812" s="88"/>
      <c r="D812" s="88"/>
      <c r="E812" s="88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88"/>
      <c r="AL812" s="88"/>
      <c r="AM812" s="88"/>
      <c r="AN812" s="88"/>
      <c r="AO812" s="88"/>
      <c r="AP812" s="88"/>
      <c r="AQ812" s="88"/>
      <c r="AR812" s="88"/>
      <c r="AS812" s="88"/>
      <c r="AT812" s="88"/>
      <c r="AU812" s="88"/>
      <c r="AV812" s="88"/>
      <c r="AW812" s="88"/>
      <c r="AX812" s="88"/>
      <c r="AY812" s="88"/>
      <c r="AZ812" s="88"/>
      <c r="BA812" s="88"/>
      <c r="BB812" s="88"/>
      <c r="BC812" s="88"/>
      <c r="BD812" s="88"/>
    </row>
    <row r="813" spans="1:56" ht="12.55" x14ac:dyDescent="0.2">
      <c r="A813" s="88"/>
      <c r="B813" s="88"/>
      <c r="C813" s="88"/>
      <c r="D813" s="88"/>
      <c r="E813" s="88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88"/>
      <c r="AL813" s="88"/>
      <c r="AM813" s="88"/>
      <c r="AN813" s="88"/>
      <c r="AO813" s="88"/>
      <c r="AP813" s="88"/>
      <c r="AQ813" s="88"/>
      <c r="AR813" s="88"/>
      <c r="AS813" s="88"/>
      <c r="AT813" s="88"/>
      <c r="AU813" s="88"/>
      <c r="AV813" s="88"/>
      <c r="AW813" s="88"/>
      <c r="AX813" s="88"/>
      <c r="AY813" s="88"/>
      <c r="AZ813" s="88"/>
      <c r="BA813" s="88"/>
      <c r="BB813" s="88"/>
      <c r="BC813" s="88"/>
      <c r="BD813" s="88"/>
    </row>
    <row r="814" spans="1:56" ht="12.55" x14ac:dyDescent="0.2">
      <c r="A814" s="88"/>
      <c r="B814" s="88"/>
      <c r="C814" s="88"/>
      <c r="D814" s="88"/>
      <c r="E814" s="88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88"/>
      <c r="AL814" s="88"/>
      <c r="AM814" s="88"/>
      <c r="AN814" s="88"/>
      <c r="AO814" s="88"/>
      <c r="AP814" s="88"/>
      <c r="AQ814" s="88"/>
      <c r="AR814" s="88"/>
      <c r="AS814" s="88"/>
      <c r="AT814" s="88"/>
      <c r="AU814" s="88"/>
      <c r="AV814" s="88"/>
      <c r="AW814" s="88"/>
      <c r="AX814" s="88"/>
      <c r="AY814" s="88"/>
      <c r="AZ814" s="88"/>
      <c r="BA814" s="88"/>
      <c r="BB814" s="88"/>
      <c r="BC814" s="88"/>
      <c r="BD814" s="88"/>
    </row>
    <row r="815" spans="1:56" ht="12.55" x14ac:dyDescent="0.2">
      <c r="A815" s="88"/>
      <c r="B815" s="88"/>
      <c r="C815" s="88"/>
      <c r="D815" s="88"/>
      <c r="E815" s="88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88"/>
      <c r="AL815" s="88"/>
      <c r="AM815" s="88"/>
      <c r="AN815" s="88"/>
      <c r="AO815" s="88"/>
      <c r="AP815" s="88"/>
      <c r="AQ815" s="88"/>
      <c r="AR815" s="88"/>
      <c r="AS815" s="88"/>
      <c r="AT815" s="88"/>
      <c r="AU815" s="88"/>
      <c r="AV815" s="88"/>
      <c r="AW815" s="88"/>
      <c r="AX815" s="88"/>
      <c r="AY815" s="88"/>
      <c r="AZ815" s="88"/>
      <c r="BA815" s="88"/>
      <c r="BB815" s="88"/>
      <c r="BC815" s="88"/>
      <c r="BD815" s="88"/>
    </row>
    <row r="816" spans="1:56" ht="12.55" x14ac:dyDescent="0.2">
      <c r="A816" s="88"/>
      <c r="B816" s="88"/>
      <c r="C816" s="88"/>
      <c r="D816" s="88"/>
      <c r="E816" s="88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88"/>
      <c r="AL816" s="88"/>
      <c r="AM816" s="88"/>
      <c r="AN816" s="88"/>
      <c r="AO816" s="88"/>
      <c r="AP816" s="88"/>
      <c r="AQ816" s="88"/>
      <c r="AR816" s="88"/>
      <c r="AS816" s="88"/>
      <c r="AT816" s="88"/>
      <c r="AU816" s="88"/>
      <c r="AV816" s="88"/>
      <c r="AW816" s="88"/>
      <c r="AX816" s="88"/>
      <c r="AY816" s="88"/>
      <c r="AZ816" s="88"/>
      <c r="BA816" s="88"/>
      <c r="BB816" s="88"/>
      <c r="BC816" s="88"/>
      <c r="BD816" s="88"/>
    </row>
    <row r="817" spans="1:56" ht="12.55" x14ac:dyDescent="0.2">
      <c r="A817" s="88"/>
      <c r="B817" s="88"/>
      <c r="C817" s="88"/>
      <c r="D817" s="88"/>
      <c r="E817" s="88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88"/>
      <c r="AL817" s="88"/>
      <c r="AM817" s="88"/>
      <c r="AN817" s="88"/>
      <c r="AO817" s="88"/>
      <c r="AP817" s="88"/>
      <c r="AQ817" s="88"/>
      <c r="AR817" s="88"/>
      <c r="AS817" s="88"/>
      <c r="AT817" s="88"/>
      <c r="AU817" s="88"/>
      <c r="AV817" s="88"/>
      <c r="AW817" s="88"/>
      <c r="AX817" s="88"/>
      <c r="AY817" s="88"/>
      <c r="AZ817" s="88"/>
      <c r="BA817" s="88"/>
      <c r="BB817" s="88"/>
      <c r="BC817" s="88"/>
      <c r="BD817" s="88"/>
    </row>
    <row r="818" spans="1:56" ht="12.55" x14ac:dyDescent="0.2">
      <c r="A818" s="88"/>
      <c r="B818" s="88"/>
      <c r="C818" s="88"/>
      <c r="D818" s="88"/>
      <c r="E818" s="88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88"/>
      <c r="AL818" s="88"/>
      <c r="AM818" s="88"/>
      <c r="AN818" s="88"/>
      <c r="AO818" s="88"/>
      <c r="AP818" s="88"/>
      <c r="AQ818" s="88"/>
      <c r="AR818" s="88"/>
      <c r="AS818" s="88"/>
      <c r="AT818" s="88"/>
      <c r="AU818" s="88"/>
      <c r="AV818" s="88"/>
      <c r="AW818" s="88"/>
      <c r="AX818" s="88"/>
      <c r="AY818" s="88"/>
      <c r="AZ818" s="88"/>
      <c r="BA818" s="88"/>
      <c r="BB818" s="88"/>
      <c r="BC818" s="88"/>
      <c r="BD818" s="88"/>
    </row>
    <row r="819" spans="1:56" ht="12.55" x14ac:dyDescent="0.2">
      <c r="A819" s="88"/>
      <c r="B819" s="88"/>
      <c r="C819" s="88"/>
      <c r="D819" s="88"/>
      <c r="E819" s="88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88"/>
      <c r="AL819" s="88"/>
      <c r="AM819" s="88"/>
      <c r="AN819" s="88"/>
      <c r="AO819" s="88"/>
      <c r="AP819" s="88"/>
      <c r="AQ819" s="88"/>
      <c r="AR819" s="88"/>
      <c r="AS819" s="88"/>
      <c r="AT819" s="88"/>
      <c r="AU819" s="88"/>
      <c r="AV819" s="88"/>
      <c r="AW819" s="88"/>
      <c r="AX819" s="88"/>
      <c r="AY819" s="88"/>
      <c r="AZ819" s="88"/>
      <c r="BA819" s="88"/>
      <c r="BB819" s="88"/>
      <c r="BC819" s="88"/>
      <c r="BD819" s="88"/>
    </row>
    <row r="820" spans="1:56" ht="12.55" x14ac:dyDescent="0.2">
      <c r="A820" s="88"/>
      <c r="B820" s="88"/>
      <c r="C820" s="88"/>
      <c r="D820" s="88"/>
      <c r="E820" s="88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88"/>
      <c r="AL820" s="88"/>
      <c r="AM820" s="88"/>
      <c r="AN820" s="88"/>
      <c r="AO820" s="88"/>
      <c r="AP820" s="88"/>
      <c r="AQ820" s="88"/>
      <c r="AR820" s="88"/>
      <c r="AS820" s="88"/>
      <c r="AT820" s="88"/>
      <c r="AU820" s="88"/>
      <c r="AV820" s="88"/>
      <c r="AW820" s="88"/>
      <c r="AX820" s="88"/>
      <c r="AY820" s="88"/>
      <c r="AZ820" s="88"/>
      <c r="BA820" s="88"/>
      <c r="BB820" s="88"/>
      <c r="BC820" s="88"/>
      <c r="BD820" s="88"/>
    </row>
    <row r="821" spans="1:56" ht="12.55" x14ac:dyDescent="0.2">
      <c r="A821" s="88"/>
      <c r="B821" s="88"/>
      <c r="C821" s="88"/>
      <c r="D821" s="88"/>
      <c r="E821" s="88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88"/>
      <c r="AL821" s="88"/>
      <c r="AM821" s="88"/>
      <c r="AN821" s="88"/>
      <c r="AO821" s="88"/>
      <c r="AP821" s="88"/>
      <c r="AQ821" s="88"/>
      <c r="AR821" s="88"/>
      <c r="AS821" s="88"/>
      <c r="AT821" s="88"/>
      <c r="AU821" s="88"/>
      <c r="AV821" s="88"/>
      <c r="AW821" s="88"/>
      <c r="AX821" s="88"/>
      <c r="AY821" s="88"/>
      <c r="AZ821" s="88"/>
      <c r="BA821" s="88"/>
      <c r="BB821" s="88"/>
      <c r="BC821" s="88"/>
      <c r="BD821" s="88"/>
    </row>
    <row r="822" spans="1:56" ht="12.55" x14ac:dyDescent="0.2">
      <c r="A822" s="88"/>
      <c r="B822" s="88"/>
      <c r="C822" s="88"/>
      <c r="D822" s="88"/>
      <c r="E822" s="88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88"/>
      <c r="AL822" s="88"/>
      <c r="AM822" s="88"/>
      <c r="AN822" s="88"/>
      <c r="AO822" s="88"/>
      <c r="AP822" s="88"/>
      <c r="AQ822" s="88"/>
      <c r="AR822" s="88"/>
      <c r="AS822" s="88"/>
      <c r="AT822" s="88"/>
      <c r="AU822" s="88"/>
      <c r="AV822" s="88"/>
      <c r="AW822" s="88"/>
      <c r="AX822" s="88"/>
      <c r="AY822" s="88"/>
      <c r="AZ822" s="88"/>
      <c r="BA822" s="88"/>
      <c r="BB822" s="88"/>
      <c r="BC822" s="88"/>
      <c r="BD822" s="88"/>
    </row>
    <row r="823" spans="1:56" ht="12.55" x14ac:dyDescent="0.2">
      <c r="A823" s="88"/>
      <c r="B823" s="88"/>
      <c r="C823" s="88"/>
      <c r="D823" s="88"/>
      <c r="E823" s="88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88"/>
      <c r="AL823" s="88"/>
      <c r="AM823" s="88"/>
      <c r="AN823" s="88"/>
      <c r="AO823" s="88"/>
      <c r="AP823" s="88"/>
      <c r="AQ823" s="88"/>
      <c r="AR823" s="88"/>
      <c r="AS823" s="88"/>
      <c r="AT823" s="88"/>
      <c r="AU823" s="88"/>
      <c r="AV823" s="88"/>
      <c r="AW823" s="88"/>
      <c r="AX823" s="88"/>
      <c r="AY823" s="88"/>
      <c r="AZ823" s="88"/>
      <c r="BA823" s="88"/>
      <c r="BB823" s="88"/>
      <c r="BC823" s="88"/>
      <c r="BD823" s="88"/>
    </row>
    <row r="824" spans="1:56" ht="12.55" x14ac:dyDescent="0.2">
      <c r="A824" s="88"/>
      <c r="B824" s="88"/>
      <c r="C824" s="88"/>
      <c r="D824" s="88"/>
      <c r="E824" s="88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88"/>
      <c r="AL824" s="88"/>
      <c r="AM824" s="88"/>
      <c r="AN824" s="88"/>
      <c r="AO824" s="88"/>
      <c r="AP824" s="88"/>
      <c r="AQ824" s="88"/>
      <c r="AR824" s="88"/>
      <c r="AS824" s="88"/>
      <c r="AT824" s="88"/>
      <c r="AU824" s="88"/>
      <c r="AV824" s="88"/>
      <c r="AW824" s="88"/>
      <c r="AX824" s="88"/>
      <c r="AY824" s="88"/>
      <c r="AZ824" s="88"/>
      <c r="BA824" s="88"/>
      <c r="BB824" s="88"/>
      <c r="BC824" s="88"/>
      <c r="BD824" s="88"/>
    </row>
    <row r="825" spans="1:56" ht="12.55" x14ac:dyDescent="0.2">
      <c r="A825" s="88"/>
      <c r="B825" s="88"/>
      <c r="C825" s="88"/>
      <c r="D825" s="88"/>
      <c r="E825" s="88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88"/>
      <c r="AL825" s="88"/>
      <c r="AM825" s="88"/>
      <c r="AN825" s="88"/>
      <c r="AO825" s="88"/>
      <c r="AP825" s="88"/>
      <c r="AQ825" s="88"/>
      <c r="AR825" s="88"/>
      <c r="AS825" s="88"/>
      <c r="AT825" s="88"/>
      <c r="AU825" s="88"/>
      <c r="AV825" s="88"/>
      <c r="AW825" s="88"/>
      <c r="AX825" s="88"/>
      <c r="AY825" s="88"/>
      <c r="AZ825" s="88"/>
      <c r="BA825" s="88"/>
      <c r="BB825" s="88"/>
      <c r="BC825" s="88"/>
      <c r="BD825" s="88"/>
    </row>
    <row r="826" spans="1:56" ht="12.55" x14ac:dyDescent="0.2">
      <c r="A826" s="88"/>
      <c r="B826" s="88"/>
      <c r="C826" s="88"/>
      <c r="D826" s="88"/>
      <c r="E826" s="88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88"/>
      <c r="AL826" s="88"/>
      <c r="AM826" s="88"/>
      <c r="AN826" s="88"/>
      <c r="AO826" s="88"/>
      <c r="AP826" s="88"/>
      <c r="AQ826" s="88"/>
      <c r="AR826" s="88"/>
      <c r="AS826" s="88"/>
      <c r="AT826" s="88"/>
      <c r="AU826" s="88"/>
      <c r="AV826" s="88"/>
      <c r="AW826" s="88"/>
      <c r="AX826" s="88"/>
      <c r="AY826" s="88"/>
      <c r="AZ826" s="88"/>
      <c r="BA826" s="88"/>
      <c r="BB826" s="88"/>
      <c r="BC826" s="88"/>
      <c r="BD826" s="88"/>
    </row>
    <row r="827" spans="1:56" ht="12.55" x14ac:dyDescent="0.2">
      <c r="A827" s="88"/>
      <c r="B827" s="88"/>
      <c r="C827" s="88"/>
      <c r="D827" s="88"/>
      <c r="E827" s="88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88"/>
      <c r="AL827" s="88"/>
      <c r="AM827" s="88"/>
      <c r="AN827" s="88"/>
      <c r="AO827" s="88"/>
      <c r="AP827" s="88"/>
      <c r="AQ827" s="88"/>
      <c r="AR827" s="88"/>
      <c r="AS827" s="88"/>
      <c r="AT827" s="88"/>
      <c r="AU827" s="88"/>
      <c r="AV827" s="88"/>
      <c r="AW827" s="88"/>
      <c r="AX827" s="88"/>
      <c r="AY827" s="88"/>
      <c r="AZ827" s="88"/>
      <c r="BA827" s="88"/>
      <c r="BB827" s="88"/>
      <c r="BC827" s="88"/>
      <c r="BD827" s="88"/>
    </row>
    <row r="828" spans="1:56" ht="12.55" x14ac:dyDescent="0.2">
      <c r="A828" s="88"/>
      <c r="B828" s="88"/>
      <c r="C828" s="88"/>
      <c r="D828" s="88"/>
      <c r="E828" s="88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88"/>
      <c r="AL828" s="88"/>
      <c r="AM828" s="88"/>
      <c r="AN828" s="88"/>
      <c r="AO828" s="88"/>
      <c r="AP828" s="88"/>
      <c r="AQ828" s="88"/>
      <c r="AR828" s="88"/>
      <c r="AS828" s="88"/>
      <c r="AT828" s="88"/>
      <c r="AU828" s="88"/>
      <c r="AV828" s="88"/>
      <c r="AW828" s="88"/>
      <c r="AX828" s="88"/>
      <c r="AY828" s="88"/>
      <c r="AZ828" s="88"/>
      <c r="BA828" s="88"/>
      <c r="BB828" s="88"/>
      <c r="BC828" s="88"/>
      <c r="BD828" s="88"/>
    </row>
    <row r="829" spans="1:56" ht="12.55" x14ac:dyDescent="0.2">
      <c r="A829" s="88"/>
      <c r="B829" s="88"/>
      <c r="C829" s="88"/>
      <c r="D829" s="88"/>
      <c r="E829" s="88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88"/>
      <c r="AL829" s="88"/>
      <c r="AM829" s="88"/>
      <c r="AN829" s="88"/>
      <c r="AO829" s="88"/>
      <c r="AP829" s="88"/>
      <c r="AQ829" s="88"/>
      <c r="AR829" s="88"/>
      <c r="AS829" s="88"/>
      <c r="AT829" s="88"/>
      <c r="AU829" s="88"/>
      <c r="AV829" s="88"/>
      <c r="AW829" s="88"/>
      <c r="AX829" s="88"/>
      <c r="AY829" s="88"/>
      <c r="AZ829" s="88"/>
      <c r="BA829" s="88"/>
      <c r="BB829" s="88"/>
      <c r="BC829" s="88"/>
      <c r="BD829" s="88"/>
    </row>
    <row r="830" spans="1:56" ht="12.55" x14ac:dyDescent="0.2">
      <c r="A830" s="88"/>
      <c r="B830" s="88"/>
      <c r="C830" s="88"/>
      <c r="D830" s="88"/>
      <c r="E830" s="88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88"/>
      <c r="AL830" s="88"/>
      <c r="AM830" s="88"/>
      <c r="AN830" s="88"/>
      <c r="AO830" s="88"/>
      <c r="AP830" s="88"/>
      <c r="AQ830" s="88"/>
      <c r="AR830" s="88"/>
      <c r="AS830" s="88"/>
      <c r="AT830" s="88"/>
      <c r="AU830" s="88"/>
      <c r="AV830" s="88"/>
      <c r="AW830" s="88"/>
      <c r="AX830" s="88"/>
      <c r="AY830" s="88"/>
      <c r="AZ830" s="88"/>
      <c r="BA830" s="88"/>
      <c r="BB830" s="88"/>
      <c r="BC830" s="88"/>
      <c r="BD830" s="88"/>
    </row>
    <row r="831" spans="1:56" ht="12.55" x14ac:dyDescent="0.2">
      <c r="A831" s="88"/>
      <c r="B831" s="88"/>
      <c r="C831" s="88"/>
      <c r="D831" s="88"/>
      <c r="E831" s="88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88"/>
      <c r="AL831" s="88"/>
      <c r="AM831" s="88"/>
      <c r="AN831" s="88"/>
      <c r="AO831" s="88"/>
      <c r="AP831" s="88"/>
      <c r="AQ831" s="88"/>
      <c r="AR831" s="88"/>
      <c r="AS831" s="88"/>
      <c r="AT831" s="88"/>
      <c r="AU831" s="88"/>
      <c r="AV831" s="88"/>
      <c r="AW831" s="88"/>
      <c r="AX831" s="88"/>
      <c r="AY831" s="88"/>
      <c r="AZ831" s="88"/>
      <c r="BA831" s="88"/>
      <c r="BB831" s="88"/>
      <c r="BC831" s="88"/>
      <c r="BD831" s="88"/>
    </row>
    <row r="832" spans="1:56" ht="12.55" x14ac:dyDescent="0.2">
      <c r="A832" s="88"/>
      <c r="B832" s="88"/>
      <c r="C832" s="88"/>
      <c r="D832" s="88"/>
      <c r="E832" s="88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88"/>
      <c r="AL832" s="88"/>
      <c r="AM832" s="88"/>
      <c r="AN832" s="88"/>
      <c r="AO832" s="88"/>
      <c r="AP832" s="88"/>
      <c r="AQ832" s="88"/>
      <c r="AR832" s="88"/>
      <c r="AS832" s="88"/>
      <c r="AT832" s="88"/>
      <c r="AU832" s="88"/>
      <c r="AV832" s="88"/>
      <c r="AW832" s="88"/>
      <c r="AX832" s="88"/>
      <c r="AY832" s="88"/>
      <c r="AZ832" s="88"/>
      <c r="BA832" s="88"/>
      <c r="BB832" s="88"/>
      <c r="BC832" s="88"/>
      <c r="BD832" s="88"/>
    </row>
    <row r="833" spans="1:56" ht="12.55" x14ac:dyDescent="0.2">
      <c r="A833" s="88"/>
      <c r="B833" s="88"/>
      <c r="C833" s="88"/>
      <c r="D833" s="88"/>
      <c r="E833" s="88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88"/>
      <c r="AL833" s="88"/>
      <c r="AM833" s="88"/>
      <c r="AN833" s="88"/>
      <c r="AO833" s="88"/>
      <c r="AP833" s="88"/>
      <c r="AQ833" s="88"/>
      <c r="AR833" s="88"/>
      <c r="AS833" s="88"/>
      <c r="AT833" s="88"/>
      <c r="AU833" s="88"/>
      <c r="AV833" s="88"/>
      <c r="AW833" s="88"/>
      <c r="AX833" s="88"/>
      <c r="AY833" s="88"/>
      <c r="AZ833" s="88"/>
      <c r="BA833" s="88"/>
      <c r="BB833" s="88"/>
      <c r="BC833" s="88"/>
      <c r="BD833" s="88"/>
    </row>
    <row r="834" spans="1:56" ht="12.55" x14ac:dyDescent="0.2">
      <c r="A834" s="88"/>
      <c r="B834" s="88"/>
      <c r="C834" s="88"/>
      <c r="D834" s="88"/>
      <c r="E834" s="88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88"/>
      <c r="AL834" s="88"/>
      <c r="AM834" s="88"/>
      <c r="AN834" s="88"/>
      <c r="AO834" s="88"/>
      <c r="AP834" s="88"/>
      <c r="AQ834" s="88"/>
      <c r="AR834" s="88"/>
      <c r="AS834" s="88"/>
      <c r="AT834" s="88"/>
      <c r="AU834" s="88"/>
      <c r="AV834" s="88"/>
      <c r="AW834" s="88"/>
      <c r="AX834" s="88"/>
      <c r="AY834" s="88"/>
      <c r="AZ834" s="88"/>
      <c r="BA834" s="88"/>
      <c r="BB834" s="88"/>
      <c r="BC834" s="88"/>
      <c r="BD834" s="88"/>
    </row>
    <row r="835" spans="1:56" ht="12.55" x14ac:dyDescent="0.2">
      <c r="A835" s="88"/>
      <c r="B835" s="88"/>
      <c r="C835" s="88"/>
      <c r="D835" s="88"/>
      <c r="E835" s="88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88"/>
      <c r="AL835" s="88"/>
      <c r="AM835" s="88"/>
      <c r="AN835" s="88"/>
      <c r="AO835" s="88"/>
      <c r="AP835" s="88"/>
      <c r="AQ835" s="88"/>
      <c r="AR835" s="88"/>
      <c r="AS835" s="88"/>
      <c r="AT835" s="88"/>
      <c r="AU835" s="88"/>
      <c r="AV835" s="88"/>
      <c r="AW835" s="88"/>
      <c r="AX835" s="88"/>
      <c r="AY835" s="88"/>
      <c r="AZ835" s="88"/>
      <c r="BA835" s="88"/>
      <c r="BB835" s="88"/>
      <c r="BC835" s="88"/>
      <c r="BD835" s="88"/>
    </row>
    <row r="836" spans="1:56" ht="12.55" x14ac:dyDescent="0.2">
      <c r="A836" s="88"/>
      <c r="B836" s="88"/>
      <c r="C836" s="88"/>
      <c r="D836" s="88"/>
      <c r="E836" s="88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88"/>
      <c r="AL836" s="88"/>
      <c r="AM836" s="88"/>
      <c r="AN836" s="88"/>
      <c r="AO836" s="88"/>
      <c r="AP836" s="88"/>
      <c r="AQ836" s="88"/>
      <c r="AR836" s="88"/>
      <c r="AS836" s="88"/>
      <c r="AT836" s="88"/>
      <c r="AU836" s="88"/>
      <c r="AV836" s="88"/>
      <c r="AW836" s="88"/>
      <c r="AX836" s="88"/>
      <c r="AY836" s="88"/>
      <c r="AZ836" s="88"/>
      <c r="BA836" s="88"/>
      <c r="BB836" s="88"/>
      <c r="BC836" s="88"/>
      <c r="BD836" s="88"/>
    </row>
    <row r="837" spans="1:56" ht="12.55" x14ac:dyDescent="0.2">
      <c r="A837" s="88"/>
      <c r="B837" s="88"/>
      <c r="C837" s="88"/>
      <c r="D837" s="88"/>
      <c r="E837" s="88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88"/>
      <c r="AL837" s="88"/>
      <c r="AM837" s="88"/>
      <c r="AN837" s="88"/>
      <c r="AO837" s="88"/>
      <c r="AP837" s="88"/>
      <c r="AQ837" s="88"/>
      <c r="AR837" s="88"/>
      <c r="AS837" s="88"/>
      <c r="AT837" s="88"/>
      <c r="AU837" s="88"/>
      <c r="AV837" s="88"/>
      <c r="AW837" s="88"/>
      <c r="AX837" s="88"/>
      <c r="AY837" s="88"/>
      <c r="AZ837" s="88"/>
      <c r="BA837" s="88"/>
      <c r="BB837" s="88"/>
      <c r="BC837" s="88"/>
      <c r="BD837" s="88"/>
    </row>
    <row r="838" spans="1:56" ht="12.55" x14ac:dyDescent="0.2">
      <c r="A838" s="88"/>
      <c r="B838" s="88"/>
      <c r="C838" s="88"/>
      <c r="D838" s="88"/>
      <c r="E838" s="88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88"/>
      <c r="AL838" s="88"/>
      <c r="AM838" s="88"/>
      <c r="AN838" s="88"/>
      <c r="AO838" s="88"/>
      <c r="AP838" s="88"/>
      <c r="AQ838" s="88"/>
      <c r="AR838" s="88"/>
      <c r="AS838" s="88"/>
      <c r="AT838" s="88"/>
      <c r="AU838" s="88"/>
      <c r="AV838" s="88"/>
      <c r="AW838" s="88"/>
      <c r="AX838" s="88"/>
      <c r="AY838" s="88"/>
      <c r="AZ838" s="88"/>
      <c r="BA838" s="88"/>
      <c r="BB838" s="88"/>
      <c r="BC838" s="88"/>
      <c r="BD838" s="88"/>
    </row>
    <row r="839" spans="1:56" ht="12.55" x14ac:dyDescent="0.2">
      <c r="A839" s="88"/>
      <c r="B839" s="88"/>
      <c r="C839" s="88"/>
      <c r="D839" s="88"/>
      <c r="E839" s="88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88"/>
      <c r="AL839" s="88"/>
      <c r="AM839" s="88"/>
      <c r="AN839" s="88"/>
      <c r="AO839" s="88"/>
      <c r="AP839" s="88"/>
      <c r="AQ839" s="88"/>
      <c r="AR839" s="88"/>
      <c r="AS839" s="88"/>
      <c r="AT839" s="88"/>
      <c r="AU839" s="88"/>
      <c r="AV839" s="88"/>
      <c r="AW839" s="88"/>
      <c r="AX839" s="88"/>
      <c r="AY839" s="88"/>
      <c r="AZ839" s="88"/>
      <c r="BA839" s="88"/>
      <c r="BB839" s="88"/>
      <c r="BC839" s="88"/>
      <c r="BD839" s="88"/>
    </row>
    <row r="840" spans="1:56" ht="12.55" x14ac:dyDescent="0.2">
      <c r="A840" s="88"/>
      <c r="B840" s="88"/>
      <c r="C840" s="88"/>
      <c r="D840" s="88"/>
      <c r="E840" s="88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88"/>
      <c r="AL840" s="88"/>
      <c r="AM840" s="88"/>
      <c r="AN840" s="88"/>
      <c r="AO840" s="88"/>
      <c r="AP840" s="88"/>
      <c r="AQ840" s="88"/>
      <c r="AR840" s="88"/>
      <c r="AS840" s="88"/>
      <c r="AT840" s="88"/>
      <c r="AU840" s="88"/>
      <c r="AV840" s="88"/>
      <c r="AW840" s="88"/>
      <c r="AX840" s="88"/>
      <c r="AY840" s="88"/>
      <c r="AZ840" s="88"/>
      <c r="BA840" s="88"/>
      <c r="BB840" s="88"/>
      <c r="BC840" s="88"/>
      <c r="BD840" s="88"/>
    </row>
    <row r="841" spans="1:56" ht="12.55" x14ac:dyDescent="0.2">
      <c r="A841" s="88"/>
      <c r="B841" s="88"/>
      <c r="C841" s="88"/>
      <c r="D841" s="88"/>
      <c r="E841" s="88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88"/>
      <c r="AL841" s="88"/>
      <c r="AM841" s="88"/>
      <c r="AN841" s="88"/>
      <c r="AO841" s="88"/>
      <c r="AP841" s="88"/>
      <c r="AQ841" s="88"/>
      <c r="AR841" s="88"/>
      <c r="AS841" s="88"/>
      <c r="AT841" s="88"/>
      <c r="AU841" s="88"/>
      <c r="AV841" s="88"/>
      <c r="AW841" s="88"/>
      <c r="AX841" s="88"/>
      <c r="AY841" s="88"/>
      <c r="AZ841" s="88"/>
      <c r="BA841" s="88"/>
      <c r="BB841" s="88"/>
      <c r="BC841" s="88"/>
      <c r="BD841" s="88"/>
    </row>
    <row r="842" spans="1:56" ht="12.55" x14ac:dyDescent="0.2">
      <c r="A842" s="88"/>
      <c r="B842" s="88"/>
      <c r="C842" s="88"/>
      <c r="D842" s="88"/>
      <c r="E842" s="88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88"/>
      <c r="AL842" s="88"/>
      <c r="AM842" s="88"/>
      <c r="AN842" s="88"/>
      <c r="AO842" s="88"/>
      <c r="AP842" s="88"/>
      <c r="AQ842" s="88"/>
      <c r="AR842" s="88"/>
      <c r="AS842" s="88"/>
      <c r="AT842" s="88"/>
      <c r="AU842" s="88"/>
      <c r="AV842" s="88"/>
      <c r="AW842" s="88"/>
      <c r="AX842" s="88"/>
      <c r="AY842" s="88"/>
      <c r="AZ842" s="88"/>
      <c r="BA842" s="88"/>
      <c r="BB842" s="88"/>
      <c r="BC842" s="88"/>
      <c r="BD842" s="88"/>
    </row>
    <row r="843" spans="1:56" ht="12.55" x14ac:dyDescent="0.2">
      <c r="A843" s="88"/>
      <c r="B843" s="88"/>
      <c r="C843" s="88"/>
      <c r="D843" s="88"/>
      <c r="E843" s="88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88"/>
      <c r="AL843" s="88"/>
      <c r="AM843" s="88"/>
      <c r="AN843" s="88"/>
      <c r="AO843" s="88"/>
      <c r="AP843" s="88"/>
      <c r="AQ843" s="88"/>
      <c r="AR843" s="88"/>
      <c r="AS843" s="88"/>
      <c r="AT843" s="88"/>
      <c r="AU843" s="88"/>
      <c r="AV843" s="88"/>
      <c r="AW843" s="88"/>
      <c r="AX843" s="88"/>
      <c r="AY843" s="88"/>
      <c r="AZ843" s="88"/>
      <c r="BA843" s="88"/>
      <c r="BB843" s="88"/>
      <c r="BC843" s="88"/>
      <c r="BD843" s="88"/>
    </row>
    <row r="844" spans="1:56" ht="12.55" x14ac:dyDescent="0.2">
      <c r="A844" s="88"/>
      <c r="B844" s="88"/>
      <c r="C844" s="88"/>
      <c r="D844" s="88"/>
      <c r="E844" s="88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88"/>
      <c r="AL844" s="88"/>
      <c r="AM844" s="88"/>
      <c r="AN844" s="88"/>
      <c r="AO844" s="88"/>
      <c r="AP844" s="88"/>
      <c r="AQ844" s="88"/>
      <c r="AR844" s="88"/>
      <c r="AS844" s="88"/>
      <c r="AT844" s="88"/>
      <c r="AU844" s="88"/>
      <c r="AV844" s="88"/>
      <c r="AW844" s="88"/>
      <c r="AX844" s="88"/>
      <c r="AY844" s="88"/>
      <c r="AZ844" s="88"/>
      <c r="BA844" s="88"/>
      <c r="BB844" s="88"/>
      <c r="BC844" s="88"/>
      <c r="BD844" s="88"/>
    </row>
    <row r="845" spans="1:56" ht="12.55" x14ac:dyDescent="0.2">
      <c r="A845" s="88"/>
      <c r="B845" s="88"/>
      <c r="C845" s="88"/>
      <c r="D845" s="88"/>
      <c r="E845" s="88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88"/>
      <c r="AL845" s="88"/>
      <c r="AM845" s="88"/>
      <c r="AN845" s="88"/>
      <c r="AO845" s="88"/>
      <c r="AP845" s="88"/>
      <c r="AQ845" s="88"/>
      <c r="AR845" s="88"/>
      <c r="AS845" s="88"/>
      <c r="AT845" s="88"/>
      <c r="AU845" s="88"/>
      <c r="AV845" s="88"/>
      <c r="AW845" s="88"/>
      <c r="AX845" s="88"/>
      <c r="AY845" s="88"/>
      <c r="AZ845" s="88"/>
      <c r="BA845" s="88"/>
      <c r="BB845" s="88"/>
      <c r="BC845" s="88"/>
      <c r="BD845" s="88"/>
    </row>
    <row r="846" spans="1:56" ht="12.55" x14ac:dyDescent="0.2">
      <c r="A846" s="88"/>
      <c r="B846" s="88"/>
      <c r="C846" s="88"/>
      <c r="D846" s="88"/>
      <c r="E846" s="88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88"/>
      <c r="AL846" s="88"/>
      <c r="AM846" s="88"/>
      <c r="AN846" s="88"/>
      <c r="AO846" s="88"/>
      <c r="AP846" s="88"/>
      <c r="AQ846" s="88"/>
      <c r="AR846" s="88"/>
      <c r="AS846" s="88"/>
      <c r="AT846" s="88"/>
      <c r="AU846" s="88"/>
      <c r="AV846" s="88"/>
      <c r="AW846" s="88"/>
      <c r="AX846" s="88"/>
      <c r="AY846" s="88"/>
      <c r="AZ846" s="88"/>
      <c r="BA846" s="88"/>
      <c r="BB846" s="88"/>
      <c r="BC846" s="88"/>
      <c r="BD846" s="88"/>
    </row>
    <row r="847" spans="1:56" ht="12.55" x14ac:dyDescent="0.2">
      <c r="A847" s="88"/>
      <c r="B847" s="88"/>
      <c r="C847" s="88"/>
      <c r="D847" s="88"/>
      <c r="E847" s="88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88"/>
      <c r="AL847" s="88"/>
      <c r="AM847" s="88"/>
      <c r="AN847" s="88"/>
      <c r="AO847" s="88"/>
      <c r="AP847" s="88"/>
      <c r="AQ847" s="88"/>
      <c r="AR847" s="88"/>
      <c r="AS847" s="88"/>
      <c r="AT847" s="88"/>
      <c r="AU847" s="88"/>
      <c r="AV847" s="88"/>
      <c r="AW847" s="88"/>
      <c r="AX847" s="88"/>
      <c r="AY847" s="88"/>
      <c r="AZ847" s="88"/>
      <c r="BA847" s="88"/>
      <c r="BB847" s="88"/>
      <c r="BC847" s="88"/>
      <c r="BD847" s="88"/>
    </row>
    <row r="848" spans="1:56" ht="12.55" x14ac:dyDescent="0.2">
      <c r="A848" s="88"/>
      <c r="B848" s="88"/>
      <c r="C848" s="88"/>
      <c r="D848" s="88"/>
      <c r="E848" s="88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88"/>
      <c r="AL848" s="88"/>
      <c r="AM848" s="88"/>
      <c r="AN848" s="88"/>
      <c r="AO848" s="88"/>
      <c r="AP848" s="88"/>
      <c r="AQ848" s="88"/>
      <c r="AR848" s="88"/>
      <c r="AS848" s="88"/>
      <c r="AT848" s="88"/>
      <c r="AU848" s="88"/>
      <c r="AV848" s="88"/>
      <c r="AW848" s="88"/>
      <c r="AX848" s="88"/>
      <c r="AY848" s="88"/>
      <c r="AZ848" s="88"/>
      <c r="BA848" s="88"/>
      <c r="BB848" s="88"/>
      <c r="BC848" s="88"/>
      <c r="BD848" s="88"/>
    </row>
    <row r="849" spans="1:56" ht="12.55" x14ac:dyDescent="0.2">
      <c r="A849" s="88"/>
      <c r="B849" s="88"/>
      <c r="C849" s="88"/>
      <c r="D849" s="88"/>
      <c r="E849" s="88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88"/>
      <c r="AL849" s="88"/>
      <c r="AM849" s="88"/>
      <c r="AN849" s="88"/>
      <c r="AO849" s="88"/>
      <c r="AP849" s="88"/>
      <c r="AQ849" s="88"/>
      <c r="AR849" s="88"/>
      <c r="AS849" s="88"/>
      <c r="AT849" s="88"/>
      <c r="AU849" s="88"/>
      <c r="AV849" s="88"/>
      <c r="AW849" s="88"/>
      <c r="AX849" s="88"/>
      <c r="AY849" s="88"/>
      <c r="AZ849" s="88"/>
      <c r="BA849" s="88"/>
      <c r="BB849" s="88"/>
      <c r="BC849" s="88"/>
      <c r="BD849" s="88"/>
    </row>
    <row r="850" spans="1:56" ht="12.55" x14ac:dyDescent="0.2">
      <c r="A850" s="88"/>
      <c r="B850" s="88"/>
      <c r="C850" s="88"/>
      <c r="D850" s="88"/>
      <c r="E850" s="88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88"/>
      <c r="AL850" s="88"/>
      <c r="AM850" s="88"/>
      <c r="AN850" s="88"/>
      <c r="AO850" s="88"/>
      <c r="AP850" s="88"/>
      <c r="AQ850" s="88"/>
      <c r="AR850" s="88"/>
      <c r="AS850" s="88"/>
      <c r="AT850" s="88"/>
      <c r="AU850" s="88"/>
      <c r="AV850" s="88"/>
      <c r="AW850" s="88"/>
      <c r="AX850" s="88"/>
      <c r="AY850" s="88"/>
      <c r="AZ850" s="88"/>
      <c r="BA850" s="88"/>
      <c r="BB850" s="88"/>
      <c r="BC850" s="88"/>
      <c r="BD850" s="88"/>
    </row>
    <row r="851" spans="1:56" ht="12.55" x14ac:dyDescent="0.2">
      <c r="A851" s="88"/>
      <c r="B851" s="88"/>
      <c r="C851" s="88"/>
      <c r="D851" s="88"/>
      <c r="E851" s="88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88"/>
      <c r="AL851" s="88"/>
      <c r="AM851" s="88"/>
      <c r="AN851" s="88"/>
      <c r="AO851" s="88"/>
      <c r="AP851" s="88"/>
      <c r="AQ851" s="88"/>
      <c r="AR851" s="88"/>
      <c r="AS851" s="88"/>
      <c r="AT851" s="88"/>
      <c r="AU851" s="88"/>
      <c r="AV851" s="88"/>
      <c r="AW851" s="88"/>
      <c r="AX851" s="88"/>
      <c r="AY851" s="88"/>
      <c r="AZ851" s="88"/>
      <c r="BA851" s="88"/>
      <c r="BB851" s="88"/>
      <c r="BC851" s="88"/>
      <c r="BD851" s="88"/>
    </row>
    <row r="852" spans="1:56" ht="12.55" x14ac:dyDescent="0.2">
      <c r="A852" s="88"/>
      <c r="B852" s="88"/>
      <c r="C852" s="88"/>
      <c r="D852" s="88"/>
      <c r="E852" s="88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88"/>
      <c r="AL852" s="88"/>
      <c r="AM852" s="88"/>
      <c r="AN852" s="88"/>
      <c r="AO852" s="88"/>
      <c r="AP852" s="88"/>
      <c r="AQ852" s="88"/>
      <c r="AR852" s="88"/>
      <c r="AS852" s="88"/>
      <c r="AT852" s="88"/>
      <c r="AU852" s="88"/>
      <c r="AV852" s="88"/>
      <c r="AW852" s="88"/>
      <c r="AX852" s="88"/>
      <c r="AY852" s="88"/>
      <c r="AZ852" s="88"/>
      <c r="BA852" s="88"/>
      <c r="BB852" s="88"/>
      <c r="BC852" s="88"/>
      <c r="BD852" s="88"/>
    </row>
    <row r="853" spans="1:56" ht="12.55" x14ac:dyDescent="0.2">
      <c r="A853" s="88"/>
      <c r="B853" s="88"/>
      <c r="C853" s="88"/>
      <c r="D853" s="88"/>
      <c r="E853" s="88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88"/>
      <c r="AL853" s="88"/>
      <c r="AM853" s="88"/>
      <c r="AN853" s="88"/>
      <c r="AO853" s="88"/>
      <c r="AP853" s="88"/>
      <c r="AQ853" s="88"/>
      <c r="AR853" s="88"/>
      <c r="AS853" s="88"/>
      <c r="AT853" s="88"/>
      <c r="AU853" s="88"/>
      <c r="AV853" s="88"/>
      <c r="AW853" s="88"/>
      <c r="AX853" s="88"/>
      <c r="AY853" s="88"/>
      <c r="AZ853" s="88"/>
      <c r="BA853" s="88"/>
      <c r="BB853" s="88"/>
      <c r="BC853" s="88"/>
      <c r="BD853" s="88"/>
    </row>
    <row r="854" spans="1:56" ht="12.55" x14ac:dyDescent="0.2">
      <c r="A854" s="88"/>
      <c r="B854" s="88"/>
      <c r="C854" s="88"/>
      <c r="D854" s="88"/>
      <c r="E854" s="88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88"/>
      <c r="AL854" s="88"/>
      <c r="AM854" s="88"/>
      <c r="AN854" s="88"/>
      <c r="AO854" s="88"/>
      <c r="AP854" s="88"/>
      <c r="AQ854" s="88"/>
      <c r="AR854" s="88"/>
      <c r="AS854" s="88"/>
      <c r="AT854" s="88"/>
      <c r="AU854" s="88"/>
      <c r="AV854" s="88"/>
      <c r="AW854" s="88"/>
      <c r="AX854" s="88"/>
      <c r="AY854" s="88"/>
      <c r="AZ854" s="88"/>
      <c r="BA854" s="88"/>
      <c r="BB854" s="88"/>
      <c r="BC854" s="88"/>
      <c r="BD854" s="88"/>
    </row>
    <row r="855" spans="1:56" ht="12.55" x14ac:dyDescent="0.2">
      <c r="A855" s="88"/>
      <c r="B855" s="88"/>
      <c r="C855" s="88"/>
      <c r="D855" s="88"/>
      <c r="E855" s="88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88"/>
      <c r="AL855" s="88"/>
      <c r="AM855" s="88"/>
      <c r="AN855" s="88"/>
      <c r="AO855" s="88"/>
      <c r="AP855" s="88"/>
      <c r="AQ855" s="88"/>
      <c r="AR855" s="88"/>
      <c r="AS855" s="88"/>
      <c r="AT855" s="88"/>
      <c r="AU855" s="88"/>
      <c r="AV855" s="88"/>
      <c r="AW855" s="88"/>
      <c r="AX855" s="88"/>
      <c r="AY855" s="88"/>
      <c r="AZ855" s="88"/>
      <c r="BA855" s="88"/>
      <c r="BB855" s="88"/>
      <c r="BC855" s="88"/>
      <c r="BD855" s="88"/>
    </row>
    <row r="856" spans="1:56" ht="12.55" x14ac:dyDescent="0.2">
      <c r="A856" s="88"/>
      <c r="B856" s="88"/>
      <c r="C856" s="88"/>
      <c r="D856" s="88"/>
      <c r="E856" s="88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88"/>
      <c r="AL856" s="88"/>
      <c r="AM856" s="88"/>
      <c r="AN856" s="88"/>
      <c r="AO856" s="88"/>
      <c r="AP856" s="88"/>
      <c r="AQ856" s="88"/>
      <c r="AR856" s="88"/>
      <c r="AS856" s="88"/>
      <c r="AT856" s="88"/>
      <c r="AU856" s="88"/>
      <c r="AV856" s="88"/>
      <c r="AW856" s="88"/>
      <c r="AX856" s="88"/>
      <c r="AY856" s="88"/>
      <c r="AZ856" s="88"/>
      <c r="BA856" s="88"/>
      <c r="BB856" s="88"/>
      <c r="BC856" s="88"/>
      <c r="BD856" s="88"/>
    </row>
    <row r="857" spans="1:56" ht="12.55" x14ac:dyDescent="0.2">
      <c r="A857" s="88"/>
      <c r="B857" s="88"/>
      <c r="C857" s="88"/>
      <c r="D857" s="88"/>
      <c r="E857" s="88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88"/>
      <c r="AL857" s="88"/>
      <c r="AM857" s="88"/>
      <c r="AN857" s="88"/>
      <c r="AO857" s="88"/>
      <c r="AP857" s="88"/>
      <c r="AQ857" s="88"/>
      <c r="AR857" s="88"/>
      <c r="AS857" s="88"/>
      <c r="AT857" s="88"/>
      <c r="AU857" s="88"/>
      <c r="AV857" s="88"/>
      <c r="AW857" s="88"/>
      <c r="AX857" s="88"/>
      <c r="AY857" s="88"/>
      <c r="AZ857" s="88"/>
      <c r="BA857" s="88"/>
      <c r="BB857" s="88"/>
      <c r="BC857" s="88"/>
      <c r="BD857" s="88"/>
    </row>
    <row r="858" spans="1:56" ht="12.55" x14ac:dyDescent="0.2">
      <c r="A858" s="88"/>
      <c r="B858" s="88"/>
      <c r="C858" s="88"/>
      <c r="D858" s="88"/>
      <c r="E858" s="88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88"/>
      <c r="AL858" s="88"/>
      <c r="AM858" s="88"/>
      <c r="AN858" s="88"/>
      <c r="AO858" s="88"/>
      <c r="AP858" s="88"/>
      <c r="AQ858" s="88"/>
      <c r="AR858" s="88"/>
      <c r="AS858" s="88"/>
      <c r="AT858" s="88"/>
      <c r="AU858" s="88"/>
      <c r="AV858" s="88"/>
      <c r="AW858" s="88"/>
      <c r="AX858" s="88"/>
      <c r="AY858" s="88"/>
      <c r="AZ858" s="88"/>
      <c r="BA858" s="88"/>
      <c r="BB858" s="88"/>
      <c r="BC858" s="88"/>
      <c r="BD858" s="88"/>
    </row>
    <row r="859" spans="1:56" ht="12.55" x14ac:dyDescent="0.2">
      <c r="A859" s="88"/>
      <c r="B859" s="88"/>
      <c r="C859" s="88"/>
      <c r="D859" s="88"/>
      <c r="E859" s="88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88"/>
      <c r="AL859" s="88"/>
      <c r="AM859" s="88"/>
      <c r="AN859" s="88"/>
      <c r="AO859" s="88"/>
      <c r="AP859" s="88"/>
      <c r="AQ859" s="88"/>
      <c r="AR859" s="88"/>
      <c r="AS859" s="88"/>
      <c r="AT859" s="88"/>
      <c r="AU859" s="88"/>
      <c r="AV859" s="88"/>
      <c r="AW859" s="88"/>
      <c r="AX859" s="88"/>
      <c r="AY859" s="88"/>
      <c r="AZ859" s="88"/>
      <c r="BA859" s="88"/>
      <c r="BB859" s="88"/>
      <c r="BC859" s="88"/>
      <c r="BD859" s="88"/>
    </row>
    <row r="860" spans="1:56" ht="12.55" x14ac:dyDescent="0.2">
      <c r="A860" s="88"/>
      <c r="B860" s="88"/>
      <c r="C860" s="88"/>
      <c r="D860" s="88"/>
      <c r="E860" s="88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88"/>
      <c r="AL860" s="88"/>
      <c r="AM860" s="88"/>
      <c r="AN860" s="88"/>
      <c r="AO860" s="88"/>
      <c r="AP860" s="88"/>
      <c r="AQ860" s="88"/>
      <c r="AR860" s="88"/>
      <c r="AS860" s="88"/>
      <c r="AT860" s="88"/>
      <c r="AU860" s="88"/>
      <c r="AV860" s="88"/>
      <c r="AW860" s="88"/>
      <c r="AX860" s="88"/>
      <c r="AY860" s="88"/>
      <c r="AZ860" s="88"/>
      <c r="BA860" s="88"/>
      <c r="BB860" s="88"/>
      <c r="BC860" s="88"/>
      <c r="BD860" s="88"/>
    </row>
    <row r="861" spans="1:56" ht="12.55" x14ac:dyDescent="0.2">
      <c r="A861" s="88"/>
      <c r="B861" s="88"/>
      <c r="C861" s="88"/>
      <c r="D861" s="88"/>
      <c r="E861" s="88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88"/>
      <c r="AL861" s="88"/>
      <c r="AM861" s="88"/>
      <c r="AN861" s="88"/>
      <c r="AO861" s="88"/>
      <c r="AP861" s="88"/>
      <c r="AQ861" s="88"/>
      <c r="AR861" s="88"/>
      <c r="AS861" s="88"/>
      <c r="AT861" s="88"/>
      <c r="AU861" s="88"/>
      <c r="AV861" s="88"/>
      <c r="AW861" s="88"/>
      <c r="AX861" s="88"/>
      <c r="AY861" s="88"/>
      <c r="AZ861" s="88"/>
      <c r="BA861" s="88"/>
      <c r="BB861" s="88"/>
      <c r="BC861" s="88"/>
      <c r="BD861" s="88"/>
    </row>
    <row r="862" spans="1:56" ht="12.55" x14ac:dyDescent="0.2">
      <c r="A862" s="88"/>
      <c r="B862" s="88"/>
      <c r="C862" s="88"/>
      <c r="D862" s="88"/>
      <c r="E862" s="88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88"/>
      <c r="AL862" s="88"/>
      <c r="AM862" s="88"/>
      <c r="AN862" s="88"/>
      <c r="AO862" s="88"/>
      <c r="AP862" s="88"/>
      <c r="AQ862" s="88"/>
      <c r="AR862" s="88"/>
      <c r="AS862" s="88"/>
      <c r="AT862" s="88"/>
      <c r="AU862" s="88"/>
      <c r="AV862" s="88"/>
      <c r="AW862" s="88"/>
      <c r="AX862" s="88"/>
      <c r="AY862" s="88"/>
      <c r="AZ862" s="88"/>
      <c r="BA862" s="88"/>
      <c r="BB862" s="88"/>
      <c r="BC862" s="88"/>
      <c r="BD862" s="88"/>
    </row>
    <row r="863" spans="1:56" ht="12.55" x14ac:dyDescent="0.2">
      <c r="A863" s="88"/>
      <c r="B863" s="88"/>
      <c r="C863" s="88"/>
      <c r="D863" s="88"/>
      <c r="E863" s="88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88"/>
      <c r="AL863" s="88"/>
      <c r="AM863" s="88"/>
      <c r="AN863" s="88"/>
      <c r="AO863" s="88"/>
      <c r="AP863" s="88"/>
      <c r="AQ863" s="88"/>
      <c r="AR863" s="88"/>
      <c r="AS863" s="88"/>
      <c r="AT863" s="88"/>
      <c r="AU863" s="88"/>
      <c r="AV863" s="88"/>
      <c r="AW863" s="88"/>
      <c r="AX863" s="88"/>
      <c r="AY863" s="88"/>
      <c r="AZ863" s="88"/>
      <c r="BA863" s="88"/>
      <c r="BB863" s="88"/>
      <c r="BC863" s="88"/>
      <c r="BD863" s="88"/>
    </row>
    <row r="864" spans="1:56" ht="12.55" x14ac:dyDescent="0.2">
      <c r="A864" s="88"/>
      <c r="B864" s="88"/>
      <c r="C864" s="88"/>
      <c r="D864" s="88"/>
      <c r="E864" s="88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88"/>
      <c r="AL864" s="88"/>
      <c r="AM864" s="88"/>
      <c r="AN864" s="88"/>
      <c r="AO864" s="88"/>
      <c r="AP864" s="88"/>
      <c r="AQ864" s="88"/>
      <c r="AR864" s="88"/>
      <c r="AS864" s="88"/>
      <c r="AT864" s="88"/>
      <c r="AU864" s="88"/>
      <c r="AV864" s="88"/>
      <c r="AW864" s="88"/>
      <c r="AX864" s="88"/>
      <c r="AY864" s="88"/>
      <c r="AZ864" s="88"/>
      <c r="BA864" s="88"/>
      <c r="BB864" s="88"/>
      <c r="BC864" s="88"/>
      <c r="BD864" s="88"/>
    </row>
    <row r="865" spans="1:56" ht="12.55" x14ac:dyDescent="0.2">
      <c r="A865" s="88"/>
      <c r="B865" s="88"/>
      <c r="C865" s="88"/>
      <c r="D865" s="88"/>
      <c r="E865" s="88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88"/>
      <c r="AL865" s="88"/>
      <c r="AM865" s="88"/>
      <c r="AN865" s="88"/>
      <c r="AO865" s="88"/>
      <c r="AP865" s="88"/>
      <c r="AQ865" s="88"/>
      <c r="AR865" s="88"/>
      <c r="AS865" s="88"/>
      <c r="AT865" s="88"/>
      <c r="AU865" s="88"/>
      <c r="AV865" s="88"/>
      <c r="AW865" s="88"/>
      <c r="AX865" s="88"/>
      <c r="AY865" s="88"/>
      <c r="AZ865" s="88"/>
      <c r="BA865" s="88"/>
      <c r="BB865" s="88"/>
      <c r="BC865" s="88"/>
      <c r="BD865" s="88"/>
    </row>
    <row r="866" spans="1:56" ht="12.55" x14ac:dyDescent="0.2">
      <c r="A866" s="88"/>
      <c r="B866" s="88"/>
      <c r="C866" s="88"/>
      <c r="D866" s="88"/>
      <c r="E866" s="88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88"/>
      <c r="AL866" s="88"/>
      <c r="AM866" s="88"/>
      <c r="AN866" s="88"/>
      <c r="AO866" s="88"/>
      <c r="AP866" s="88"/>
      <c r="AQ866" s="88"/>
      <c r="AR866" s="88"/>
      <c r="AS866" s="88"/>
      <c r="AT866" s="88"/>
      <c r="AU866" s="88"/>
      <c r="AV866" s="88"/>
      <c r="AW866" s="88"/>
      <c r="AX866" s="88"/>
      <c r="AY866" s="88"/>
      <c r="AZ866" s="88"/>
      <c r="BA866" s="88"/>
      <c r="BB866" s="88"/>
      <c r="BC866" s="88"/>
      <c r="BD866" s="88"/>
    </row>
    <row r="867" spans="1:56" ht="12.55" x14ac:dyDescent="0.2">
      <c r="A867" s="88"/>
      <c r="B867" s="88"/>
      <c r="C867" s="88"/>
      <c r="D867" s="88"/>
      <c r="E867" s="88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88"/>
      <c r="AL867" s="88"/>
      <c r="AM867" s="88"/>
      <c r="AN867" s="88"/>
      <c r="AO867" s="88"/>
      <c r="AP867" s="88"/>
      <c r="AQ867" s="88"/>
      <c r="AR867" s="88"/>
      <c r="AS867" s="88"/>
      <c r="AT867" s="88"/>
      <c r="AU867" s="88"/>
      <c r="AV867" s="88"/>
      <c r="AW867" s="88"/>
      <c r="AX867" s="88"/>
      <c r="AY867" s="88"/>
      <c r="AZ867" s="88"/>
      <c r="BA867" s="88"/>
      <c r="BB867" s="88"/>
      <c r="BC867" s="88"/>
      <c r="BD867" s="88"/>
    </row>
    <row r="868" spans="1:56" ht="12.55" x14ac:dyDescent="0.2">
      <c r="A868" s="88"/>
      <c r="B868" s="88"/>
      <c r="C868" s="88"/>
      <c r="D868" s="88"/>
      <c r="E868" s="88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88"/>
      <c r="AL868" s="88"/>
      <c r="AM868" s="88"/>
      <c r="AN868" s="88"/>
      <c r="AO868" s="88"/>
      <c r="AP868" s="88"/>
      <c r="AQ868" s="88"/>
      <c r="AR868" s="88"/>
      <c r="AS868" s="88"/>
      <c r="AT868" s="88"/>
      <c r="AU868" s="88"/>
      <c r="AV868" s="88"/>
      <c r="AW868" s="88"/>
      <c r="AX868" s="88"/>
      <c r="AY868" s="88"/>
      <c r="AZ868" s="88"/>
      <c r="BA868" s="88"/>
      <c r="BB868" s="88"/>
      <c r="BC868" s="88"/>
      <c r="BD868" s="88"/>
    </row>
    <row r="869" spans="1:56" ht="12.55" x14ac:dyDescent="0.2">
      <c r="A869" s="88"/>
      <c r="B869" s="88"/>
      <c r="C869" s="88"/>
      <c r="D869" s="88"/>
      <c r="E869" s="88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88"/>
      <c r="AL869" s="88"/>
      <c r="AM869" s="88"/>
      <c r="AN869" s="88"/>
      <c r="AO869" s="88"/>
      <c r="AP869" s="88"/>
      <c r="AQ869" s="88"/>
      <c r="AR869" s="88"/>
      <c r="AS869" s="88"/>
      <c r="AT869" s="88"/>
      <c r="AU869" s="88"/>
      <c r="AV869" s="88"/>
      <c r="AW869" s="88"/>
      <c r="AX869" s="88"/>
      <c r="AY869" s="88"/>
      <c r="AZ869" s="88"/>
      <c r="BA869" s="88"/>
      <c r="BB869" s="88"/>
      <c r="BC869" s="88"/>
      <c r="BD869" s="88"/>
    </row>
    <row r="870" spans="1:56" ht="12.55" x14ac:dyDescent="0.2">
      <c r="A870" s="88"/>
      <c r="B870" s="88"/>
      <c r="C870" s="88"/>
      <c r="D870" s="88"/>
      <c r="E870" s="88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88"/>
      <c r="AL870" s="88"/>
      <c r="AM870" s="88"/>
      <c r="AN870" s="88"/>
      <c r="AO870" s="88"/>
      <c r="AP870" s="88"/>
      <c r="AQ870" s="88"/>
      <c r="AR870" s="88"/>
      <c r="AS870" s="88"/>
      <c r="AT870" s="88"/>
      <c r="AU870" s="88"/>
      <c r="AV870" s="88"/>
      <c r="AW870" s="88"/>
      <c r="AX870" s="88"/>
      <c r="AY870" s="88"/>
      <c r="AZ870" s="88"/>
      <c r="BA870" s="88"/>
      <c r="BB870" s="88"/>
      <c r="BC870" s="88"/>
      <c r="BD870" s="88"/>
    </row>
    <row r="871" spans="1:56" ht="12.55" x14ac:dyDescent="0.2">
      <c r="A871" s="88"/>
      <c r="B871" s="88"/>
      <c r="C871" s="88"/>
      <c r="D871" s="88"/>
      <c r="E871" s="88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88"/>
      <c r="AL871" s="88"/>
      <c r="AM871" s="88"/>
      <c r="AN871" s="88"/>
      <c r="AO871" s="88"/>
      <c r="AP871" s="88"/>
      <c r="AQ871" s="88"/>
      <c r="AR871" s="88"/>
      <c r="AS871" s="88"/>
      <c r="AT871" s="88"/>
      <c r="AU871" s="88"/>
      <c r="AV871" s="88"/>
      <c r="AW871" s="88"/>
      <c r="AX871" s="88"/>
      <c r="AY871" s="88"/>
      <c r="AZ871" s="88"/>
      <c r="BA871" s="88"/>
      <c r="BB871" s="88"/>
      <c r="BC871" s="88"/>
      <c r="BD871" s="88"/>
    </row>
    <row r="872" spans="1:56" ht="12.55" x14ac:dyDescent="0.2">
      <c r="A872" s="88"/>
      <c r="B872" s="88"/>
      <c r="C872" s="88"/>
      <c r="D872" s="88"/>
      <c r="E872" s="88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88"/>
      <c r="AL872" s="88"/>
      <c r="AM872" s="88"/>
      <c r="AN872" s="88"/>
      <c r="AO872" s="88"/>
      <c r="AP872" s="88"/>
      <c r="AQ872" s="88"/>
      <c r="AR872" s="88"/>
      <c r="AS872" s="88"/>
      <c r="AT872" s="88"/>
      <c r="AU872" s="88"/>
      <c r="AV872" s="88"/>
      <c r="AW872" s="88"/>
      <c r="AX872" s="88"/>
      <c r="AY872" s="88"/>
      <c r="AZ872" s="88"/>
      <c r="BA872" s="88"/>
      <c r="BB872" s="88"/>
      <c r="BC872" s="88"/>
      <c r="BD872" s="88"/>
    </row>
    <row r="873" spans="1:56" ht="12.55" x14ac:dyDescent="0.2">
      <c r="A873" s="88"/>
      <c r="B873" s="88"/>
      <c r="C873" s="88"/>
      <c r="D873" s="88"/>
      <c r="E873" s="88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88"/>
      <c r="AL873" s="88"/>
      <c r="AM873" s="88"/>
      <c r="AN873" s="88"/>
      <c r="AO873" s="88"/>
      <c r="AP873" s="88"/>
      <c r="AQ873" s="88"/>
      <c r="AR873" s="88"/>
      <c r="AS873" s="88"/>
      <c r="AT873" s="88"/>
      <c r="AU873" s="88"/>
      <c r="AV873" s="88"/>
      <c r="AW873" s="88"/>
      <c r="AX873" s="88"/>
      <c r="AY873" s="88"/>
      <c r="AZ873" s="88"/>
      <c r="BA873" s="88"/>
      <c r="BB873" s="88"/>
      <c r="BC873" s="88"/>
      <c r="BD873" s="88"/>
    </row>
    <row r="874" spans="1:56" ht="12.55" x14ac:dyDescent="0.2">
      <c r="A874" s="88"/>
      <c r="B874" s="88"/>
      <c r="C874" s="88"/>
      <c r="D874" s="88"/>
      <c r="E874" s="88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88"/>
      <c r="AL874" s="88"/>
      <c r="AM874" s="88"/>
      <c r="AN874" s="88"/>
      <c r="AO874" s="88"/>
      <c r="AP874" s="88"/>
      <c r="AQ874" s="88"/>
      <c r="AR874" s="88"/>
      <c r="AS874" s="88"/>
      <c r="AT874" s="88"/>
      <c r="AU874" s="88"/>
      <c r="AV874" s="88"/>
      <c r="AW874" s="88"/>
      <c r="AX874" s="88"/>
      <c r="AY874" s="88"/>
      <c r="AZ874" s="88"/>
      <c r="BA874" s="88"/>
      <c r="BB874" s="88"/>
      <c r="BC874" s="88"/>
      <c r="BD874" s="88"/>
    </row>
    <row r="875" spans="1:56" ht="12.55" x14ac:dyDescent="0.2">
      <c r="A875" s="88"/>
      <c r="B875" s="88"/>
      <c r="C875" s="88"/>
      <c r="D875" s="88"/>
      <c r="E875" s="88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88"/>
      <c r="AL875" s="88"/>
      <c r="AM875" s="88"/>
      <c r="AN875" s="88"/>
      <c r="AO875" s="88"/>
      <c r="AP875" s="88"/>
      <c r="AQ875" s="88"/>
      <c r="AR875" s="88"/>
      <c r="AS875" s="88"/>
      <c r="AT875" s="88"/>
      <c r="AU875" s="88"/>
      <c r="AV875" s="88"/>
      <c r="AW875" s="88"/>
      <c r="AX875" s="88"/>
      <c r="AY875" s="88"/>
      <c r="AZ875" s="88"/>
      <c r="BA875" s="88"/>
      <c r="BB875" s="88"/>
      <c r="BC875" s="88"/>
      <c r="BD875" s="88"/>
    </row>
    <row r="876" spans="1:56" ht="12.55" x14ac:dyDescent="0.2">
      <c r="A876" s="88"/>
      <c r="B876" s="88"/>
      <c r="C876" s="88"/>
      <c r="D876" s="88"/>
      <c r="E876" s="88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88"/>
      <c r="AL876" s="88"/>
      <c r="AM876" s="88"/>
      <c r="AN876" s="88"/>
      <c r="AO876" s="88"/>
      <c r="AP876" s="88"/>
      <c r="AQ876" s="88"/>
      <c r="AR876" s="88"/>
      <c r="AS876" s="88"/>
      <c r="AT876" s="88"/>
      <c r="AU876" s="88"/>
      <c r="AV876" s="88"/>
      <c r="AW876" s="88"/>
      <c r="AX876" s="88"/>
      <c r="AY876" s="88"/>
      <c r="AZ876" s="88"/>
      <c r="BA876" s="88"/>
      <c r="BB876" s="88"/>
      <c r="BC876" s="88"/>
      <c r="BD876" s="88"/>
    </row>
    <row r="877" spans="1:56" ht="12.55" x14ac:dyDescent="0.2">
      <c r="A877" s="88"/>
      <c r="B877" s="88"/>
      <c r="C877" s="88"/>
      <c r="D877" s="88"/>
      <c r="E877" s="88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88"/>
      <c r="AL877" s="88"/>
      <c r="AM877" s="88"/>
      <c r="AN877" s="88"/>
      <c r="AO877" s="88"/>
      <c r="AP877" s="88"/>
      <c r="AQ877" s="88"/>
      <c r="AR877" s="88"/>
      <c r="AS877" s="88"/>
      <c r="AT877" s="88"/>
      <c r="AU877" s="88"/>
      <c r="AV877" s="88"/>
      <c r="AW877" s="88"/>
      <c r="AX877" s="88"/>
      <c r="AY877" s="88"/>
      <c r="AZ877" s="88"/>
      <c r="BA877" s="88"/>
      <c r="BB877" s="88"/>
      <c r="BC877" s="88"/>
      <c r="BD877" s="88"/>
    </row>
    <row r="878" spans="1:56" ht="12.55" x14ac:dyDescent="0.2">
      <c r="A878" s="88"/>
      <c r="B878" s="88"/>
      <c r="C878" s="88"/>
      <c r="D878" s="88"/>
      <c r="E878" s="88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88"/>
      <c r="AL878" s="88"/>
      <c r="AM878" s="88"/>
      <c r="AN878" s="88"/>
      <c r="AO878" s="88"/>
      <c r="AP878" s="88"/>
      <c r="AQ878" s="88"/>
      <c r="AR878" s="88"/>
      <c r="AS878" s="88"/>
      <c r="AT878" s="88"/>
      <c r="AU878" s="88"/>
      <c r="AV878" s="88"/>
      <c r="AW878" s="88"/>
      <c r="AX878" s="88"/>
      <c r="AY878" s="88"/>
      <c r="AZ878" s="88"/>
      <c r="BA878" s="88"/>
      <c r="BB878" s="88"/>
      <c r="BC878" s="88"/>
      <c r="BD878" s="88"/>
    </row>
    <row r="879" spans="1:56" ht="12.55" x14ac:dyDescent="0.2">
      <c r="A879" s="88"/>
      <c r="B879" s="88"/>
      <c r="C879" s="88"/>
      <c r="D879" s="88"/>
      <c r="E879" s="88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88"/>
      <c r="AL879" s="88"/>
      <c r="AM879" s="88"/>
      <c r="AN879" s="88"/>
      <c r="AO879" s="88"/>
      <c r="AP879" s="88"/>
      <c r="AQ879" s="88"/>
      <c r="AR879" s="88"/>
      <c r="AS879" s="88"/>
      <c r="AT879" s="88"/>
      <c r="AU879" s="88"/>
      <c r="AV879" s="88"/>
      <c r="AW879" s="88"/>
      <c r="AX879" s="88"/>
      <c r="AY879" s="88"/>
      <c r="AZ879" s="88"/>
      <c r="BA879" s="88"/>
      <c r="BB879" s="88"/>
      <c r="BC879" s="88"/>
      <c r="BD879" s="88"/>
    </row>
    <row r="880" spans="1:56" ht="12.55" x14ac:dyDescent="0.2">
      <c r="A880" s="88"/>
      <c r="B880" s="88"/>
      <c r="C880" s="88"/>
      <c r="D880" s="88"/>
      <c r="E880" s="88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88"/>
      <c r="AL880" s="88"/>
      <c r="AM880" s="88"/>
      <c r="AN880" s="88"/>
      <c r="AO880" s="88"/>
      <c r="AP880" s="88"/>
      <c r="AQ880" s="88"/>
      <c r="AR880" s="88"/>
      <c r="AS880" s="88"/>
      <c r="AT880" s="88"/>
      <c r="AU880" s="88"/>
      <c r="AV880" s="88"/>
      <c r="AW880" s="88"/>
      <c r="AX880" s="88"/>
      <c r="AY880" s="88"/>
      <c r="AZ880" s="88"/>
      <c r="BA880" s="88"/>
      <c r="BB880" s="88"/>
      <c r="BC880" s="88"/>
      <c r="BD880" s="88"/>
    </row>
    <row r="881" spans="1:56" ht="12.55" x14ac:dyDescent="0.2">
      <c r="A881" s="88"/>
      <c r="B881" s="88"/>
      <c r="C881" s="88"/>
      <c r="D881" s="88"/>
      <c r="E881" s="88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88"/>
      <c r="AL881" s="88"/>
      <c r="AM881" s="88"/>
      <c r="AN881" s="88"/>
      <c r="AO881" s="88"/>
      <c r="AP881" s="88"/>
      <c r="AQ881" s="88"/>
      <c r="AR881" s="88"/>
      <c r="AS881" s="88"/>
      <c r="AT881" s="88"/>
      <c r="AU881" s="88"/>
      <c r="AV881" s="88"/>
      <c r="AW881" s="88"/>
      <c r="AX881" s="88"/>
      <c r="AY881" s="88"/>
      <c r="AZ881" s="88"/>
      <c r="BA881" s="88"/>
      <c r="BB881" s="88"/>
      <c r="BC881" s="88"/>
      <c r="BD881" s="88"/>
    </row>
    <row r="882" spans="1:56" ht="12.55" x14ac:dyDescent="0.2">
      <c r="A882" s="88"/>
      <c r="B882" s="88"/>
      <c r="C882" s="88"/>
      <c r="D882" s="88"/>
      <c r="E882" s="88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88"/>
      <c r="AL882" s="88"/>
      <c r="AM882" s="88"/>
      <c r="AN882" s="88"/>
      <c r="AO882" s="88"/>
      <c r="AP882" s="88"/>
      <c r="AQ882" s="88"/>
      <c r="AR882" s="88"/>
      <c r="AS882" s="88"/>
      <c r="AT882" s="88"/>
      <c r="AU882" s="88"/>
      <c r="AV882" s="88"/>
      <c r="AW882" s="88"/>
      <c r="AX882" s="88"/>
      <c r="AY882" s="88"/>
      <c r="AZ882" s="88"/>
      <c r="BA882" s="88"/>
      <c r="BB882" s="88"/>
      <c r="BC882" s="88"/>
      <c r="BD882" s="88"/>
    </row>
    <row r="883" spans="1:56" ht="12.55" x14ac:dyDescent="0.2">
      <c r="A883" s="88"/>
      <c r="B883" s="88"/>
      <c r="C883" s="88"/>
      <c r="D883" s="88"/>
      <c r="E883" s="88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88"/>
      <c r="AL883" s="88"/>
      <c r="AM883" s="88"/>
      <c r="AN883" s="88"/>
      <c r="AO883" s="88"/>
      <c r="AP883" s="88"/>
      <c r="AQ883" s="88"/>
      <c r="AR883" s="88"/>
      <c r="AS883" s="88"/>
      <c r="AT883" s="88"/>
      <c r="AU883" s="88"/>
      <c r="AV883" s="88"/>
      <c r="AW883" s="88"/>
      <c r="AX883" s="88"/>
      <c r="AY883" s="88"/>
      <c r="AZ883" s="88"/>
      <c r="BA883" s="88"/>
      <c r="BB883" s="88"/>
      <c r="BC883" s="88"/>
      <c r="BD883" s="88"/>
    </row>
    <row r="884" spans="1:56" ht="12.55" x14ac:dyDescent="0.2">
      <c r="A884" s="88"/>
      <c r="B884" s="88"/>
      <c r="C884" s="88"/>
      <c r="D884" s="88"/>
      <c r="E884" s="88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88"/>
      <c r="AL884" s="88"/>
      <c r="AM884" s="88"/>
      <c r="AN884" s="88"/>
      <c r="AO884" s="88"/>
      <c r="AP884" s="88"/>
      <c r="AQ884" s="88"/>
      <c r="AR884" s="88"/>
      <c r="AS884" s="88"/>
      <c r="AT884" s="88"/>
      <c r="AU884" s="88"/>
      <c r="AV884" s="88"/>
      <c r="AW884" s="88"/>
      <c r="AX884" s="88"/>
      <c r="AY884" s="88"/>
      <c r="AZ884" s="88"/>
      <c r="BA884" s="88"/>
      <c r="BB884" s="88"/>
      <c r="BC884" s="88"/>
      <c r="BD884" s="88"/>
    </row>
    <row r="885" spans="1:56" ht="12.55" x14ac:dyDescent="0.2">
      <c r="A885" s="88"/>
      <c r="B885" s="88"/>
      <c r="C885" s="88"/>
      <c r="D885" s="88"/>
      <c r="E885" s="88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88"/>
      <c r="AL885" s="88"/>
      <c r="AM885" s="88"/>
      <c r="AN885" s="88"/>
      <c r="AO885" s="88"/>
      <c r="AP885" s="88"/>
      <c r="AQ885" s="88"/>
      <c r="AR885" s="88"/>
      <c r="AS885" s="88"/>
      <c r="AT885" s="88"/>
      <c r="AU885" s="88"/>
      <c r="AV885" s="88"/>
      <c r="AW885" s="88"/>
      <c r="AX885" s="88"/>
      <c r="AY885" s="88"/>
      <c r="AZ885" s="88"/>
      <c r="BA885" s="88"/>
      <c r="BB885" s="88"/>
      <c r="BC885" s="88"/>
      <c r="BD885" s="88"/>
    </row>
    <row r="886" spans="1:56" ht="12.55" x14ac:dyDescent="0.2">
      <c r="A886" s="88"/>
      <c r="B886" s="88"/>
      <c r="C886" s="88"/>
      <c r="D886" s="88"/>
      <c r="E886" s="88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88"/>
      <c r="AL886" s="88"/>
      <c r="AM886" s="88"/>
      <c r="AN886" s="88"/>
      <c r="AO886" s="88"/>
      <c r="AP886" s="88"/>
      <c r="AQ886" s="88"/>
      <c r="AR886" s="88"/>
      <c r="AS886" s="88"/>
      <c r="AT886" s="88"/>
      <c r="AU886" s="88"/>
      <c r="AV886" s="88"/>
      <c r="AW886" s="88"/>
      <c r="AX886" s="88"/>
      <c r="AY886" s="88"/>
      <c r="AZ886" s="88"/>
      <c r="BA886" s="88"/>
      <c r="BB886" s="88"/>
      <c r="BC886" s="88"/>
      <c r="BD886" s="88"/>
    </row>
    <row r="887" spans="1:56" ht="12.55" x14ac:dyDescent="0.2">
      <c r="A887" s="88"/>
      <c r="B887" s="88"/>
      <c r="C887" s="88"/>
      <c r="D887" s="88"/>
      <c r="E887" s="88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88"/>
      <c r="AL887" s="88"/>
      <c r="AM887" s="88"/>
      <c r="AN887" s="88"/>
      <c r="AO887" s="88"/>
      <c r="AP887" s="88"/>
      <c r="AQ887" s="88"/>
      <c r="AR887" s="88"/>
      <c r="AS887" s="88"/>
      <c r="AT887" s="88"/>
      <c r="AU887" s="88"/>
      <c r="AV887" s="88"/>
      <c r="AW887" s="88"/>
      <c r="AX887" s="88"/>
      <c r="AY887" s="88"/>
      <c r="AZ887" s="88"/>
      <c r="BA887" s="88"/>
      <c r="BB887" s="88"/>
      <c r="BC887" s="88"/>
      <c r="BD887" s="88"/>
    </row>
    <row r="888" spans="1:56" ht="12.55" x14ac:dyDescent="0.2">
      <c r="A888" s="88"/>
      <c r="B888" s="88"/>
      <c r="C888" s="88"/>
      <c r="D888" s="88"/>
      <c r="E888" s="88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88"/>
      <c r="AL888" s="88"/>
      <c r="AM888" s="88"/>
      <c r="AN888" s="88"/>
      <c r="AO888" s="88"/>
      <c r="AP888" s="88"/>
      <c r="AQ888" s="88"/>
      <c r="AR888" s="88"/>
      <c r="AS888" s="88"/>
      <c r="AT888" s="88"/>
      <c r="AU888" s="88"/>
      <c r="AV888" s="88"/>
      <c r="AW888" s="88"/>
      <c r="AX888" s="88"/>
      <c r="AY888" s="88"/>
      <c r="AZ888" s="88"/>
      <c r="BA888" s="88"/>
      <c r="BB888" s="88"/>
      <c r="BC888" s="88"/>
      <c r="BD888" s="88"/>
    </row>
    <row r="889" spans="1:56" ht="12.55" x14ac:dyDescent="0.2">
      <c r="A889" s="88"/>
      <c r="B889" s="88"/>
      <c r="C889" s="88"/>
      <c r="D889" s="88"/>
      <c r="E889" s="88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88"/>
      <c r="AL889" s="88"/>
      <c r="AM889" s="88"/>
      <c r="AN889" s="88"/>
      <c r="AO889" s="88"/>
      <c r="AP889" s="88"/>
      <c r="AQ889" s="88"/>
      <c r="AR889" s="88"/>
      <c r="AS889" s="88"/>
      <c r="AT889" s="88"/>
      <c r="AU889" s="88"/>
      <c r="AV889" s="88"/>
      <c r="AW889" s="88"/>
      <c r="AX889" s="88"/>
      <c r="AY889" s="88"/>
      <c r="AZ889" s="88"/>
      <c r="BA889" s="88"/>
      <c r="BB889" s="88"/>
      <c r="BC889" s="88"/>
      <c r="BD889" s="88"/>
    </row>
    <row r="890" spans="1:56" ht="12.55" x14ac:dyDescent="0.2">
      <c r="A890" s="88"/>
      <c r="B890" s="88"/>
      <c r="C890" s="88"/>
      <c r="D890" s="88"/>
      <c r="E890" s="88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88"/>
      <c r="AL890" s="88"/>
      <c r="AM890" s="88"/>
      <c r="AN890" s="88"/>
      <c r="AO890" s="88"/>
      <c r="AP890" s="88"/>
      <c r="AQ890" s="88"/>
      <c r="AR890" s="88"/>
      <c r="AS890" s="88"/>
      <c r="AT890" s="88"/>
      <c r="AU890" s="88"/>
      <c r="AV890" s="88"/>
      <c r="AW890" s="88"/>
      <c r="AX890" s="88"/>
      <c r="AY890" s="88"/>
      <c r="AZ890" s="88"/>
      <c r="BA890" s="88"/>
      <c r="BB890" s="88"/>
      <c r="BC890" s="88"/>
      <c r="BD890" s="88"/>
    </row>
    <row r="891" spans="1:56" ht="12.55" x14ac:dyDescent="0.2">
      <c r="A891" s="88"/>
      <c r="B891" s="88"/>
      <c r="C891" s="88"/>
      <c r="D891" s="88"/>
      <c r="E891" s="88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88"/>
      <c r="AL891" s="88"/>
      <c r="AM891" s="88"/>
      <c r="AN891" s="88"/>
      <c r="AO891" s="88"/>
      <c r="AP891" s="88"/>
      <c r="AQ891" s="88"/>
      <c r="AR891" s="88"/>
      <c r="AS891" s="88"/>
      <c r="AT891" s="88"/>
      <c r="AU891" s="88"/>
      <c r="AV891" s="88"/>
      <c r="AW891" s="88"/>
      <c r="AX891" s="88"/>
      <c r="AY891" s="88"/>
      <c r="AZ891" s="88"/>
      <c r="BA891" s="88"/>
      <c r="BB891" s="88"/>
      <c r="BC891" s="88"/>
      <c r="BD891" s="88"/>
    </row>
    <row r="892" spans="1:56" ht="12.55" x14ac:dyDescent="0.2">
      <c r="A892" s="88"/>
      <c r="B892" s="88"/>
      <c r="C892" s="88"/>
      <c r="D892" s="88"/>
      <c r="E892" s="88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88"/>
      <c r="AL892" s="88"/>
      <c r="AM892" s="88"/>
      <c r="AN892" s="88"/>
      <c r="AO892" s="88"/>
      <c r="AP892" s="88"/>
      <c r="AQ892" s="88"/>
      <c r="AR892" s="88"/>
      <c r="AS892" s="88"/>
      <c r="AT892" s="88"/>
      <c r="AU892" s="88"/>
      <c r="AV892" s="88"/>
      <c r="AW892" s="88"/>
      <c r="AX892" s="88"/>
      <c r="AY892" s="88"/>
      <c r="AZ892" s="88"/>
      <c r="BA892" s="88"/>
      <c r="BB892" s="88"/>
      <c r="BC892" s="88"/>
      <c r="BD892" s="88"/>
    </row>
    <row r="893" spans="1:56" ht="12.55" x14ac:dyDescent="0.2">
      <c r="A893" s="88"/>
      <c r="B893" s="88"/>
      <c r="C893" s="88"/>
      <c r="D893" s="88"/>
      <c r="E893" s="88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88"/>
      <c r="AL893" s="88"/>
      <c r="AM893" s="88"/>
      <c r="AN893" s="88"/>
      <c r="AO893" s="88"/>
      <c r="AP893" s="88"/>
      <c r="AQ893" s="88"/>
      <c r="AR893" s="88"/>
      <c r="AS893" s="88"/>
      <c r="AT893" s="88"/>
      <c r="AU893" s="88"/>
      <c r="AV893" s="88"/>
      <c r="AW893" s="88"/>
      <c r="AX893" s="88"/>
      <c r="AY893" s="88"/>
      <c r="AZ893" s="88"/>
      <c r="BA893" s="88"/>
      <c r="BB893" s="88"/>
      <c r="BC893" s="88"/>
      <c r="BD893" s="88"/>
    </row>
    <row r="894" spans="1:56" ht="12.55" x14ac:dyDescent="0.2">
      <c r="A894" s="88"/>
      <c r="B894" s="88"/>
      <c r="C894" s="88"/>
      <c r="D894" s="88"/>
      <c r="E894" s="88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88"/>
      <c r="AL894" s="88"/>
      <c r="AM894" s="88"/>
      <c r="AN894" s="88"/>
      <c r="AO894" s="88"/>
      <c r="AP894" s="88"/>
      <c r="AQ894" s="88"/>
      <c r="AR894" s="88"/>
      <c r="AS894" s="88"/>
      <c r="AT894" s="88"/>
      <c r="AU894" s="88"/>
      <c r="AV894" s="88"/>
      <c r="AW894" s="88"/>
      <c r="AX894" s="88"/>
      <c r="AY894" s="88"/>
      <c r="AZ894" s="88"/>
      <c r="BA894" s="88"/>
      <c r="BB894" s="88"/>
      <c r="BC894" s="88"/>
      <c r="BD894" s="88"/>
    </row>
    <row r="895" spans="1:56" ht="12.55" x14ac:dyDescent="0.2">
      <c r="A895" s="88"/>
      <c r="B895" s="88"/>
      <c r="C895" s="88"/>
      <c r="D895" s="88"/>
      <c r="E895" s="88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88"/>
      <c r="AL895" s="88"/>
      <c r="AM895" s="88"/>
      <c r="AN895" s="88"/>
      <c r="AO895" s="88"/>
      <c r="AP895" s="88"/>
      <c r="AQ895" s="88"/>
      <c r="AR895" s="88"/>
      <c r="AS895" s="88"/>
      <c r="AT895" s="88"/>
      <c r="AU895" s="88"/>
      <c r="AV895" s="88"/>
      <c r="AW895" s="88"/>
      <c r="AX895" s="88"/>
      <c r="AY895" s="88"/>
      <c r="AZ895" s="88"/>
      <c r="BA895" s="88"/>
      <c r="BB895" s="88"/>
      <c r="BC895" s="88"/>
      <c r="BD895" s="88"/>
    </row>
    <row r="896" spans="1:56" ht="12.55" x14ac:dyDescent="0.2">
      <c r="A896" s="88"/>
      <c r="B896" s="88"/>
      <c r="C896" s="88"/>
      <c r="D896" s="88"/>
      <c r="E896" s="88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88"/>
      <c r="AL896" s="88"/>
      <c r="AM896" s="88"/>
      <c r="AN896" s="88"/>
      <c r="AO896" s="88"/>
      <c r="AP896" s="88"/>
      <c r="AQ896" s="88"/>
      <c r="AR896" s="88"/>
      <c r="AS896" s="88"/>
      <c r="AT896" s="88"/>
      <c r="AU896" s="88"/>
      <c r="AV896" s="88"/>
      <c r="AW896" s="88"/>
      <c r="AX896" s="88"/>
      <c r="AY896" s="88"/>
      <c r="AZ896" s="88"/>
      <c r="BA896" s="88"/>
      <c r="BB896" s="88"/>
      <c r="BC896" s="88"/>
      <c r="BD896" s="88"/>
    </row>
    <row r="897" spans="1:56" ht="12.55" x14ac:dyDescent="0.2">
      <c r="A897" s="88"/>
      <c r="B897" s="88"/>
      <c r="C897" s="88"/>
      <c r="D897" s="88"/>
      <c r="E897" s="88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88"/>
      <c r="AL897" s="88"/>
      <c r="AM897" s="88"/>
      <c r="AN897" s="88"/>
      <c r="AO897" s="88"/>
      <c r="AP897" s="88"/>
      <c r="AQ897" s="88"/>
      <c r="AR897" s="88"/>
      <c r="AS897" s="88"/>
      <c r="AT897" s="88"/>
      <c r="AU897" s="88"/>
      <c r="AV897" s="88"/>
      <c r="AW897" s="88"/>
      <c r="AX897" s="88"/>
      <c r="AY897" s="88"/>
      <c r="AZ897" s="88"/>
      <c r="BA897" s="88"/>
      <c r="BB897" s="88"/>
      <c r="BC897" s="88"/>
      <c r="BD897" s="88"/>
    </row>
    <row r="898" spans="1:56" ht="12.55" x14ac:dyDescent="0.2">
      <c r="A898" s="88"/>
      <c r="B898" s="88"/>
      <c r="C898" s="88"/>
      <c r="D898" s="88"/>
      <c r="E898" s="88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88"/>
      <c r="AL898" s="88"/>
      <c r="AM898" s="88"/>
      <c r="AN898" s="88"/>
      <c r="AO898" s="88"/>
      <c r="AP898" s="88"/>
      <c r="AQ898" s="88"/>
      <c r="AR898" s="88"/>
      <c r="AS898" s="88"/>
      <c r="AT898" s="88"/>
      <c r="AU898" s="88"/>
      <c r="AV898" s="88"/>
      <c r="AW898" s="88"/>
      <c r="AX898" s="88"/>
      <c r="AY898" s="88"/>
      <c r="AZ898" s="88"/>
      <c r="BA898" s="88"/>
      <c r="BB898" s="88"/>
      <c r="BC898" s="88"/>
      <c r="BD898" s="88"/>
    </row>
    <row r="899" spans="1:56" ht="12.55" x14ac:dyDescent="0.2">
      <c r="A899" s="88"/>
      <c r="B899" s="88"/>
      <c r="C899" s="88"/>
      <c r="D899" s="88"/>
      <c r="E899" s="88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88"/>
      <c r="AL899" s="88"/>
      <c r="AM899" s="88"/>
      <c r="AN899" s="88"/>
      <c r="AO899" s="88"/>
      <c r="AP899" s="88"/>
      <c r="AQ899" s="88"/>
      <c r="AR899" s="88"/>
      <c r="AS899" s="88"/>
      <c r="AT899" s="88"/>
      <c r="AU899" s="88"/>
      <c r="AV899" s="88"/>
      <c r="AW899" s="88"/>
      <c r="AX899" s="88"/>
      <c r="AY899" s="88"/>
      <c r="AZ899" s="88"/>
      <c r="BA899" s="88"/>
      <c r="BB899" s="88"/>
      <c r="BC899" s="88"/>
      <c r="BD899" s="88"/>
    </row>
    <row r="900" spans="1:56" ht="12.55" x14ac:dyDescent="0.2">
      <c r="A900" s="88"/>
      <c r="B900" s="88"/>
      <c r="C900" s="88"/>
      <c r="D900" s="88"/>
      <c r="E900" s="88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88"/>
      <c r="AL900" s="88"/>
      <c r="AM900" s="88"/>
      <c r="AN900" s="88"/>
      <c r="AO900" s="88"/>
      <c r="AP900" s="88"/>
      <c r="AQ900" s="88"/>
      <c r="AR900" s="88"/>
      <c r="AS900" s="88"/>
      <c r="AT900" s="88"/>
      <c r="AU900" s="88"/>
      <c r="AV900" s="88"/>
      <c r="AW900" s="88"/>
      <c r="AX900" s="88"/>
      <c r="AY900" s="88"/>
      <c r="AZ900" s="88"/>
      <c r="BA900" s="88"/>
      <c r="BB900" s="88"/>
      <c r="BC900" s="88"/>
      <c r="BD900" s="88"/>
    </row>
    <row r="901" spans="1:56" ht="12.55" x14ac:dyDescent="0.2">
      <c r="A901" s="88"/>
      <c r="B901" s="88"/>
      <c r="C901" s="88"/>
      <c r="D901" s="88"/>
      <c r="E901" s="88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88"/>
      <c r="AL901" s="88"/>
      <c r="AM901" s="88"/>
      <c r="AN901" s="88"/>
      <c r="AO901" s="88"/>
      <c r="AP901" s="88"/>
      <c r="AQ901" s="88"/>
      <c r="AR901" s="88"/>
      <c r="AS901" s="88"/>
      <c r="AT901" s="88"/>
      <c r="AU901" s="88"/>
      <c r="AV901" s="88"/>
      <c r="AW901" s="88"/>
      <c r="AX901" s="88"/>
      <c r="AY901" s="88"/>
      <c r="AZ901" s="88"/>
      <c r="BA901" s="88"/>
      <c r="BB901" s="88"/>
      <c r="BC901" s="88"/>
      <c r="BD901" s="88"/>
    </row>
    <row r="902" spans="1:56" ht="12.55" x14ac:dyDescent="0.2">
      <c r="A902" s="88"/>
      <c r="B902" s="88"/>
      <c r="C902" s="88"/>
      <c r="D902" s="88"/>
      <c r="E902" s="88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88"/>
      <c r="AL902" s="88"/>
      <c r="AM902" s="88"/>
      <c r="AN902" s="88"/>
      <c r="AO902" s="88"/>
      <c r="AP902" s="88"/>
      <c r="AQ902" s="88"/>
      <c r="AR902" s="88"/>
      <c r="AS902" s="88"/>
      <c r="AT902" s="88"/>
      <c r="AU902" s="88"/>
      <c r="AV902" s="88"/>
      <c r="AW902" s="88"/>
      <c r="AX902" s="88"/>
      <c r="AY902" s="88"/>
      <c r="AZ902" s="88"/>
      <c r="BA902" s="88"/>
      <c r="BB902" s="88"/>
      <c r="BC902" s="88"/>
      <c r="BD902" s="88"/>
    </row>
    <row r="903" spans="1:56" ht="12.55" x14ac:dyDescent="0.2">
      <c r="A903" s="88"/>
      <c r="B903" s="88"/>
      <c r="C903" s="88"/>
      <c r="D903" s="88"/>
      <c r="E903" s="88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88"/>
      <c r="AL903" s="88"/>
      <c r="AM903" s="88"/>
      <c r="AN903" s="88"/>
      <c r="AO903" s="88"/>
      <c r="AP903" s="88"/>
      <c r="AQ903" s="88"/>
      <c r="AR903" s="88"/>
      <c r="AS903" s="88"/>
      <c r="AT903" s="88"/>
      <c r="AU903" s="88"/>
      <c r="AV903" s="88"/>
      <c r="AW903" s="88"/>
      <c r="AX903" s="88"/>
      <c r="AY903" s="88"/>
      <c r="AZ903" s="88"/>
      <c r="BA903" s="88"/>
      <c r="BB903" s="88"/>
      <c r="BC903" s="88"/>
      <c r="BD903" s="88"/>
    </row>
    <row r="904" spans="1:56" ht="12.55" x14ac:dyDescent="0.2">
      <c r="A904" s="88"/>
      <c r="B904" s="88"/>
      <c r="C904" s="88"/>
      <c r="D904" s="88"/>
      <c r="E904" s="88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88"/>
      <c r="AL904" s="88"/>
      <c r="AM904" s="88"/>
      <c r="AN904" s="88"/>
      <c r="AO904" s="88"/>
      <c r="AP904" s="88"/>
      <c r="AQ904" s="88"/>
      <c r="AR904" s="88"/>
      <c r="AS904" s="88"/>
      <c r="AT904" s="88"/>
      <c r="AU904" s="88"/>
      <c r="AV904" s="88"/>
      <c r="AW904" s="88"/>
      <c r="AX904" s="88"/>
      <c r="AY904" s="88"/>
      <c r="AZ904" s="88"/>
      <c r="BA904" s="88"/>
      <c r="BB904" s="88"/>
      <c r="BC904" s="88"/>
      <c r="BD904" s="88"/>
    </row>
    <row r="905" spans="1:56" ht="12.55" x14ac:dyDescent="0.2">
      <c r="A905" s="88"/>
      <c r="B905" s="88"/>
      <c r="C905" s="88"/>
      <c r="D905" s="88"/>
      <c r="E905" s="88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88"/>
      <c r="AL905" s="88"/>
      <c r="AM905" s="88"/>
      <c r="AN905" s="88"/>
      <c r="AO905" s="88"/>
      <c r="AP905" s="88"/>
      <c r="AQ905" s="88"/>
      <c r="AR905" s="88"/>
      <c r="AS905" s="88"/>
      <c r="AT905" s="88"/>
      <c r="AU905" s="88"/>
      <c r="AV905" s="88"/>
      <c r="AW905" s="88"/>
      <c r="AX905" s="88"/>
      <c r="AY905" s="88"/>
      <c r="AZ905" s="88"/>
      <c r="BA905" s="88"/>
      <c r="BB905" s="88"/>
      <c r="BC905" s="88"/>
      <c r="BD905" s="88"/>
    </row>
    <row r="906" spans="1:56" ht="12.55" x14ac:dyDescent="0.2">
      <c r="A906" s="88"/>
      <c r="B906" s="88"/>
      <c r="C906" s="88"/>
      <c r="D906" s="88"/>
      <c r="E906" s="88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88"/>
      <c r="AL906" s="88"/>
      <c r="AM906" s="88"/>
      <c r="AN906" s="88"/>
      <c r="AO906" s="88"/>
      <c r="AP906" s="88"/>
      <c r="AQ906" s="88"/>
      <c r="AR906" s="88"/>
      <c r="AS906" s="88"/>
      <c r="AT906" s="88"/>
      <c r="AU906" s="88"/>
      <c r="AV906" s="88"/>
      <c r="AW906" s="88"/>
      <c r="AX906" s="88"/>
      <c r="AY906" s="88"/>
      <c r="AZ906" s="88"/>
      <c r="BA906" s="88"/>
      <c r="BB906" s="88"/>
      <c r="BC906" s="88"/>
      <c r="BD906" s="88"/>
    </row>
    <row r="907" spans="1:56" ht="12.55" x14ac:dyDescent="0.2">
      <c r="A907" s="88"/>
      <c r="B907" s="88"/>
      <c r="C907" s="88"/>
      <c r="D907" s="88"/>
      <c r="E907" s="88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88"/>
      <c r="AL907" s="88"/>
      <c r="AM907" s="88"/>
      <c r="AN907" s="88"/>
      <c r="AO907" s="88"/>
      <c r="AP907" s="88"/>
      <c r="AQ907" s="88"/>
      <c r="AR907" s="88"/>
      <c r="AS907" s="88"/>
      <c r="AT907" s="88"/>
      <c r="AU907" s="88"/>
      <c r="AV907" s="88"/>
      <c r="AW907" s="88"/>
      <c r="AX907" s="88"/>
      <c r="AY907" s="88"/>
      <c r="AZ907" s="88"/>
      <c r="BA907" s="88"/>
      <c r="BB907" s="88"/>
      <c r="BC907" s="88"/>
      <c r="BD907" s="88"/>
    </row>
    <row r="908" spans="1:56" ht="12.55" x14ac:dyDescent="0.2">
      <c r="A908" s="88"/>
      <c r="B908" s="88"/>
      <c r="C908" s="88"/>
      <c r="D908" s="88"/>
      <c r="E908" s="88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88"/>
      <c r="AL908" s="88"/>
      <c r="AM908" s="88"/>
      <c r="AN908" s="88"/>
      <c r="AO908" s="88"/>
      <c r="AP908" s="88"/>
      <c r="AQ908" s="88"/>
      <c r="AR908" s="88"/>
      <c r="AS908" s="88"/>
      <c r="AT908" s="88"/>
      <c r="AU908" s="88"/>
      <c r="AV908" s="88"/>
      <c r="AW908" s="88"/>
      <c r="AX908" s="88"/>
      <c r="AY908" s="88"/>
      <c r="AZ908" s="88"/>
      <c r="BA908" s="88"/>
      <c r="BB908" s="88"/>
      <c r="BC908" s="88"/>
      <c r="BD908" s="88"/>
    </row>
    <row r="909" spans="1:56" ht="12.55" x14ac:dyDescent="0.2">
      <c r="A909" s="88"/>
      <c r="B909" s="88"/>
      <c r="C909" s="88"/>
      <c r="D909" s="88"/>
      <c r="E909" s="88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88"/>
      <c r="AL909" s="88"/>
      <c r="AM909" s="88"/>
      <c r="AN909" s="88"/>
      <c r="AO909" s="88"/>
      <c r="AP909" s="88"/>
      <c r="AQ909" s="88"/>
      <c r="AR909" s="88"/>
      <c r="AS909" s="88"/>
      <c r="AT909" s="88"/>
      <c r="AU909" s="88"/>
      <c r="AV909" s="88"/>
      <c r="AW909" s="88"/>
      <c r="AX909" s="88"/>
      <c r="AY909" s="88"/>
      <c r="AZ909" s="88"/>
      <c r="BA909" s="88"/>
      <c r="BB909" s="88"/>
      <c r="BC909" s="88"/>
      <c r="BD909" s="88"/>
    </row>
    <row r="910" spans="1:56" ht="12.55" x14ac:dyDescent="0.2">
      <c r="A910" s="88"/>
      <c r="B910" s="88"/>
      <c r="C910" s="88"/>
      <c r="D910" s="88"/>
      <c r="E910" s="88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88"/>
      <c r="AL910" s="88"/>
      <c r="AM910" s="88"/>
      <c r="AN910" s="88"/>
      <c r="AO910" s="88"/>
      <c r="AP910" s="88"/>
      <c r="AQ910" s="88"/>
      <c r="AR910" s="88"/>
      <c r="AS910" s="88"/>
      <c r="AT910" s="88"/>
      <c r="AU910" s="88"/>
      <c r="AV910" s="88"/>
      <c r="AW910" s="88"/>
      <c r="AX910" s="88"/>
      <c r="AY910" s="88"/>
      <c r="AZ910" s="88"/>
      <c r="BA910" s="88"/>
      <c r="BB910" s="88"/>
      <c r="BC910" s="88"/>
      <c r="BD910" s="88"/>
    </row>
    <row r="911" spans="1:56" ht="12.55" x14ac:dyDescent="0.2">
      <c r="A911" s="88"/>
      <c r="B911" s="88"/>
      <c r="C911" s="88"/>
      <c r="D911" s="88"/>
      <c r="E911" s="88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88"/>
      <c r="AL911" s="88"/>
      <c r="AM911" s="88"/>
      <c r="AN911" s="88"/>
      <c r="AO911" s="88"/>
      <c r="AP911" s="88"/>
      <c r="AQ911" s="88"/>
      <c r="AR911" s="88"/>
      <c r="AS911" s="88"/>
      <c r="AT911" s="88"/>
      <c r="AU911" s="88"/>
      <c r="AV911" s="88"/>
      <c r="AW911" s="88"/>
      <c r="AX911" s="88"/>
      <c r="AY911" s="88"/>
      <c r="AZ911" s="88"/>
      <c r="BA911" s="88"/>
      <c r="BB911" s="88"/>
      <c r="BC911" s="88"/>
      <c r="BD911" s="88"/>
    </row>
    <row r="912" spans="1:56" ht="12.55" x14ac:dyDescent="0.2">
      <c r="A912" s="88"/>
      <c r="B912" s="88"/>
      <c r="C912" s="88"/>
      <c r="D912" s="88"/>
      <c r="E912" s="88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88"/>
      <c r="AL912" s="88"/>
      <c r="AM912" s="88"/>
      <c r="AN912" s="88"/>
      <c r="AO912" s="88"/>
      <c r="AP912" s="88"/>
      <c r="AQ912" s="88"/>
      <c r="AR912" s="88"/>
      <c r="AS912" s="88"/>
      <c r="AT912" s="88"/>
      <c r="AU912" s="88"/>
      <c r="AV912" s="88"/>
      <c r="AW912" s="88"/>
      <c r="AX912" s="88"/>
      <c r="AY912" s="88"/>
      <c r="AZ912" s="88"/>
      <c r="BA912" s="88"/>
      <c r="BB912" s="88"/>
      <c r="BC912" s="88"/>
      <c r="BD912" s="88"/>
    </row>
    <row r="913" spans="1:56" ht="12.55" x14ac:dyDescent="0.2">
      <c r="A913" s="88"/>
      <c r="B913" s="88"/>
      <c r="C913" s="88"/>
      <c r="D913" s="88"/>
      <c r="E913" s="88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88"/>
      <c r="AL913" s="88"/>
      <c r="AM913" s="88"/>
      <c r="AN913" s="88"/>
      <c r="AO913" s="88"/>
      <c r="AP913" s="88"/>
      <c r="AQ913" s="88"/>
      <c r="AR913" s="88"/>
      <c r="AS913" s="88"/>
      <c r="AT913" s="88"/>
      <c r="AU913" s="88"/>
      <c r="AV913" s="88"/>
      <c r="AW913" s="88"/>
      <c r="AX913" s="88"/>
      <c r="AY913" s="88"/>
      <c r="AZ913" s="88"/>
      <c r="BA913" s="88"/>
      <c r="BB913" s="88"/>
      <c r="BC913" s="88"/>
      <c r="BD913" s="88"/>
    </row>
    <row r="914" spans="1:56" ht="12.55" x14ac:dyDescent="0.2">
      <c r="A914" s="88"/>
      <c r="B914" s="88"/>
      <c r="C914" s="88"/>
      <c r="D914" s="88"/>
      <c r="E914" s="88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88"/>
      <c r="AL914" s="88"/>
      <c r="AM914" s="88"/>
      <c r="AN914" s="88"/>
      <c r="AO914" s="88"/>
      <c r="AP914" s="88"/>
      <c r="AQ914" s="88"/>
      <c r="AR914" s="88"/>
      <c r="AS914" s="88"/>
      <c r="AT914" s="88"/>
      <c r="AU914" s="88"/>
      <c r="AV914" s="88"/>
      <c r="AW914" s="88"/>
      <c r="AX914" s="88"/>
      <c r="AY914" s="88"/>
      <c r="AZ914" s="88"/>
      <c r="BA914" s="88"/>
      <c r="BB914" s="88"/>
      <c r="BC914" s="88"/>
      <c r="BD914" s="88"/>
    </row>
    <row r="915" spans="1:56" ht="12.55" x14ac:dyDescent="0.2">
      <c r="A915" s="88"/>
      <c r="B915" s="88"/>
      <c r="C915" s="88"/>
      <c r="D915" s="88"/>
      <c r="E915" s="88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88"/>
      <c r="AL915" s="88"/>
      <c r="AM915" s="88"/>
      <c r="AN915" s="88"/>
      <c r="AO915" s="88"/>
      <c r="AP915" s="88"/>
      <c r="AQ915" s="88"/>
      <c r="AR915" s="88"/>
      <c r="AS915" s="88"/>
      <c r="AT915" s="88"/>
      <c r="AU915" s="88"/>
      <c r="AV915" s="88"/>
      <c r="AW915" s="88"/>
      <c r="AX915" s="88"/>
      <c r="AY915" s="88"/>
      <c r="AZ915" s="88"/>
      <c r="BA915" s="88"/>
      <c r="BB915" s="88"/>
      <c r="BC915" s="88"/>
      <c r="BD915" s="88"/>
    </row>
    <row r="916" spans="1:56" ht="12.55" x14ac:dyDescent="0.2">
      <c r="A916" s="88"/>
      <c r="B916" s="88"/>
      <c r="C916" s="88"/>
      <c r="D916" s="88"/>
      <c r="E916" s="88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88"/>
      <c r="AL916" s="88"/>
      <c r="AM916" s="88"/>
      <c r="AN916" s="88"/>
      <c r="AO916" s="88"/>
      <c r="AP916" s="88"/>
      <c r="AQ916" s="88"/>
      <c r="AR916" s="88"/>
      <c r="AS916" s="88"/>
      <c r="AT916" s="88"/>
      <c r="AU916" s="88"/>
      <c r="AV916" s="88"/>
      <c r="AW916" s="88"/>
      <c r="AX916" s="88"/>
      <c r="AY916" s="88"/>
      <c r="AZ916" s="88"/>
      <c r="BA916" s="88"/>
      <c r="BB916" s="88"/>
      <c r="BC916" s="88"/>
      <c r="BD916" s="88"/>
    </row>
    <row r="917" spans="1:56" ht="12.55" x14ac:dyDescent="0.2">
      <c r="A917" s="88"/>
      <c r="B917" s="88"/>
      <c r="C917" s="88"/>
      <c r="D917" s="88"/>
      <c r="E917" s="88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88"/>
      <c r="AL917" s="88"/>
      <c r="AM917" s="88"/>
      <c r="AN917" s="88"/>
      <c r="AO917" s="88"/>
      <c r="AP917" s="88"/>
      <c r="AQ917" s="88"/>
      <c r="AR917" s="88"/>
      <c r="AS917" s="88"/>
      <c r="AT917" s="88"/>
      <c r="AU917" s="88"/>
      <c r="AV917" s="88"/>
      <c r="AW917" s="88"/>
      <c r="AX917" s="88"/>
      <c r="AY917" s="88"/>
      <c r="AZ917" s="88"/>
      <c r="BA917" s="88"/>
      <c r="BB917" s="88"/>
      <c r="BC917" s="88"/>
      <c r="BD917" s="88"/>
    </row>
    <row r="918" spans="1:56" ht="12.55" x14ac:dyDescent="0.2">
      <c r="A918" s="88"/>
      <c r="B918" s="88"/>
      <c r="C918" s="88"/>
      <c r="D918" s="88"/>
      <c r="E918" s="88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88"/>
      <c r="AL918" s="88"/>
      <c r="AM918" s="88"/>
      <c r="AN918" s="88"/>
      <c r="AO918" s="88"/>
      <c r="AP918" s="88"/>
      <c r="AQ918" s="88"/>
      <c r="AR918" s="88"/>
      <c r="AS918" s="88"/>
      <c r="AT918" s="88"/>
      <c r="AU918" s="88"/>
      <c r="AV918" s="88"/>
      <c r="AW918" s="88"/>
      <c r="AX918" s="88"/>
      <c r="AY918" s="88"/>
      <c r="AZ918" s="88"/>
      <c r="BA918" s="88"/>
      <c r="BB918" s="88"/>
      <c r="BC918" s="88"/>
      <c r="BD918" s="88"/>
    </row>
    <row r="919" spans="1:56" ht="12.55" x14ac:dyDescent="0.2">
      <c r="A919" s="88"/>
      <c r="B919" s="88"/>
      <c r="C919" s="88"/>
      <c r="D919" s="88"/>
      <c r="E919" s="88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88"/>
      <c r="AL919" s="88"/>
      <c r="AM919" s="88"/>
      <c r="AN919" s="88"/>
      <c r="AO919" s="88"/>
      <c r="AP919" s="88"/>
      <c r="AQ919" s="88"/>
      <c r="AR919" s="88"/>
      <c r="AS919" s="88"/>
      <c r="AT919" s="88"/>
      <c r="AU919" s="88"/>
      <c r="AV919" s="88"/>
      <c r="AW919" s="88"/>
      <c r="AX919" s="88"/>
      <c r="AY919" s="88"/>
      <c r="AZ919" s="88"/>
      <c r="BA919" s="88"/>
      <c r="BB919" s="88"/>
      <c r="BC919" s="88"/>
      <c r="BD919" s="88"/>
    </row>
    <row r="920" spans="1:56" ht="12.55" x14ac:dyDescent="0.2">
      <c r="A920" s="88"/>
      <c r="B920" s="88"/>
      <c r="C920" s="88"/>
      <c r="D920" s="88"/>
      <c r="E920" s="88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88"/>
      <c r="AL920" s="88"/>
      <c r="AM920" s="88"/>
      <c r="AN920" s="88"/>
      <c r="AO920" s="88"/>
      <c r="AP920" s="88"/>
      <c r="AQ920" s="88"/>
      <c r="AR920" s="88"/>
      <c r="AS920" s="88"/>
      <c r="AT920" s="88"/>
      <c r="AU920" s="88"/>
      <c r="AV920" s="88"/>
      <c r="AW920" s="88"/>
      <c r="AX920" s="88"/>
      <c r="AY920" s="88"/>
      <c r="AZ920" s="88"/>
      <c r="BA920" s="88"/>
      <c r="BB920" s="88"/>
      <c r="BC920" s="88"/>
      <c r="BD920" s="88"/>
    </row>
    <row r="921" spans="1:56" ht="12.55" x14ac:dyDescent="0.2">
      <c r="A921" s="88"/>
      <c r="B921" s="88"/>
      <c r="C921" s="88"/>
      <c r="D921" s="88"/>
      <c r="E921" s="88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88"/>
      <c r="AL921" s="88"/>
      <c r="AM921" s="88"/>
      <c r="AN921" s="88"/>
      <c r="AO921" s="88"/>
      <c r="AP921" s="88"/>
      <c r="AQ921" s="88"/>
      <c r="AR921" s="88"/>
      <c r="AS921" s="88"/>
      <c r="AT921" s="88"/>
      <c r="AU921" s="88"/>
      <c r="AV921" s="88"/>
      <c r="AW921" s="88"/>
      <c r="AX921" s="88"/>
      <c r="AY921" s="88"/>
      <c r="AZ921" s="88"/>
      <c r="BA921" s="88"/>
      <c r="BB921" s="88"/>
      <c r="BC921" s="88"/>
      <c r="BD921" s="88"/>
    </row>
    <row r="922" spans="1:56" ht="12.55" x14ac:dyDescent="0.2">
      <c r="A922" s="88"/>
      <c r="B922" s="88"/>
      <c r="C922" s="88"/>
      <c r="D922" s="88"/>
      <c r="E922" s="88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88"/>
      <c r="AL922" s="88"/>
      <c r="AM922" s="88"/>
      <c r="AN922" s="88"/>
      <c r="AO922" s="88"/>
      <c r="AP922" s="88"/>
      <c r="AQ922" s="88"/>
      <c r="AR922" s="88"/>
      <c r="AS922" s="88"/>
      <c r="AT922" s="88"/>
      <c r="AU922" s="88"/>
      <c r="AV922" s="88"/>
      <c r="AW922" s="88"/>
      <c r="AX922" s="88"/>
      <c r="AY922" s="88"/>
      <c r="AZ922" s="88"/>
      <c r="BA922" s="88"/>
      <c r="BB922" s="88"/>
      <c r="BC922" s="88"/>
      <c r="BD922" s="88"/>
    </row>
    <row r="923" spans="1:56" ht="12.55" x14ac:dyDescent="0.2">
      <c r="A923" s="88"/>
      <c r="B923" s="88"/>
      <c r="C923" s="88"/>
      <c r="D923" s="88"/>
      <c r="E923" s="88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88"/>
      <c r="AL923" s="88"/>
      <c r="AM923" s="88"/>
      <c r="AN923" s="88"/>
      <c r="AO923" s="88"/>
      <c r="AP923" s="88"/>
      <c r="AQ923" s="88"/>
      <c r="AR923" s="88"/>
      <c r="AS923" s="88"/>
      <c r="AT923" s="88"/>
      <c r="AU923" s="88"/>
      <c r="AV923" s="88"/>
      <c r="AW923" s="88"/>
      <c r="AX923" s="88"/>
      <c r="AY923" s="88"/>
      <c r="AZ923" s="88"/>
      <c r="BA923" s="88"/>
      <c r="BB923" s="88"/>
      <c r="BC923" s="88"/>
      <c r="BD923" s="88"/>
    </row>
    <row r="924" spans="1:56" ht="12.55" x14ac:dyDescent="0.2">
      <c r="A924" s="88"/>
      <c r="B924" s="88"/>
      <c r="C924" s="88"/>
      <c r="D924" s="88"/>
      <c r="E924" s="88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88"/>
      <c r="AL924" s="88"/>
      <c r="AM924" s="88"/>
      <c r="AN924" s="88"/>
      <c r="AO924" s="88"/>
      <c r="AP924" s="88"/>
      <c r="AQ924" s="88"/>
      <c r="AR924" s="88"/>
      <c r="AS924" s="88"/>
      <c r="AT924" s="88"/>
      <c r="AU924" s="88"/>
      <c r="AV924" s="88"/>
      <c r="AW924" s="88"/>
      <c r="AX924" s="88"/>
      <c r="AY924" s="88"/>
      <c r="AZ924" s="88"/>
      <c r="BA924" s="88"/>
      <c r="BB924" s="88"/>
      <c r="BC924" s="88"/>
      <c r="BD924" s="88"/>
    </row>
    <row r="925" spans="1:56" ht="12.55" x14ac:dyDescent="0.2">
      <c r="A925" s="88"/>
      <c r="B925" s="88"/>
      <c r="C925" s="88"/>
      <c r="D925" s="88"/>
      <c r="E925" s="88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88"/>
      <c r="AL925" s="88"/>
      <c r="AM925" s="88"/>
      <c r="AN925" s="88"/>
      <c r="AO925" s="88"/>
      <c r="AP925" s="88"/>
      <c r="AQ925" s="88"/>
      <c r="AR925" s="88"/>
      <c r="AS925" s="88"/>
      <c r="AT925" s="88"/>
      <c r="AU925" s="88"/>
      <c r="AV925" s="88"/>
      <c r="AW925" s="88"/>
      <c r="AX925" s="88"/>
      <c r="AY925" s="88"/>
      <c r="AZ925" s="88"/>
      <c r="BA925" s="88"/>
      <c r="BB925" s="88"/>
      <c r="BC925" s="88"/>
      <c r="BD925" s="88"/>
    </row>
    <row r="926" spans="1:56" ht="12.55" x14ac:dyDescent="0.2">
      <c r="A926" s="88"/>
      <c r="B926" s="88"/>
      <c r="C926" s="88"/>
      <c r="D926" s="88"/>
      <c r="E926" s="88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88"/>
      <c r="AL926" s="88"/>
      <c r="AM926" s="88"/>
      <c r="AN926" s="88"/>
      <c r="AO926" s="88"/>
      <c r="AP926" s="88"/>
      <c r="AQ926" s="88"/>
      <c r="AR926" s="88"/>
      <c r="AS926" s="88"/>
      <c r="AT926" s="88"/>
      <c r="AU926" s="88"/>
      <c r="AV926" s="88"/>
      <c r="AW926" s="88"/>
      <c r="AX926" s="88"/>
      <c r="AY926" s="88"/>
      <c r="AZ926" s="88"/>
      <c r="BA926" s="88"/>
      <c r="BB926" s="88"/>
      <c r="BC926" s="88"/>
      <c r="BD926" s="88"/>
    </row>
    <row r="927" spans="1:56" ht="12.55" x14ac:dyDescent="0.2">
      <c r="A927" s="88"/>
      <c r="B927" s="88"/>
      <c r="C927" s="88"/>
      <c r="D927" s="88"/>
      <c r="E927" s="88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88"/>
      <c r="AL927" s="88"/>
      <c r="AM927" s="88"/>
      <c r="AN927" s="88"/>
      <c r="AO927" s="88"/>
      <c r="AP927" s="88"/>
      <c r="AQ927" s="88"/>
      <c r="AR927" s="88"/>
      <c r="AS927" s="88"/>
      <c r="AT927" s="88"/>
      <c r="AU927" s="88"/>
      <c r="AV927" s="88"/>
      <c r="AW927" s="88"/>
      <c r="AX927" s="88"/>
      <c r="AY927" s="88"/>
      <c r="AZ927" s="88"/>
      <c r="BA927" s="88"/>
      <c r="BB927" s="88"/>
      <c r="BC927" s="88"/>
      <c r="BD927" s="88"/>
    </row>
    <row r="928" spans="1:56" ht="12.55" x14ac:dyDescent="0.2">
      <c r="A928" s="88"/>
      <c r="B928" s="88"/>
      <c r="C928" s="88"/>
      <c r="D928" s="88"/>
      <c r="E928" s="88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88"/>
      <c r="AL928" s="88"/>
      <c r="AM928" s="88"/>
      <c r="AN928" s="88"/>
      <c r="AO928" s="88"/>
      <c r="AP928" s="88"/>
      <c r="AQ928" s="88"/>
      <c r="AR928" s="88"/>
      <c r="AS928" s="88"/>
      <c r="AT928" s="88"/>
      <c r="AU928" s="88"/>
      <c r="AV928" s="88"/>
      <c r="AW928" s="88"/>
      <c r="AX928" s="88"/>
      <c r="AY928" s="88"/>
      <c r="AZ928" s="88"/>
      <c r="BA928" s="88"/>
      <c r="BB928" s="88"/>
      <c r="BC928" s="88"/>
      <c r="BD928" s="88"/>
    </row>
    <row r="929" spans="1:56" ht="12.55" x14ac:dyDescent="0.2">
      <c r="A929" s="88"/>
      <c r="B929" s="88"/>
      <c r="C929" s="88"/>
      <c r="D929" s="88"/>
      <c r="E929" s="88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88"/>
      <c r="AL929" s="88"/>
      <c r="AM929" s="88"/>
      <c r="AN929" s="88"/>
      <c r="AO929" s="88"/>
      <c r="AP929" s="88"/>
      <c r="AQ929" s="88"/>
      <c r="AR929" s="88"/>
      <c r="AS929" s="88"/>
      <c r="AT929" s="88"/>
      <c r="AU929" s="88"/>
      <c r="AV929" s="88"/>
      <c r="AW929" s="88"/>
      <c r="AX929" s="88"/>
      <c r="AY929" s="88"/>
      <c r="AZ929" s="88"/>
      <c r="BA929" s="88"/>
      <c r="BB929" s="88"/>
      <c r="BC929" s="88"/>
      <c r="BD929" s="88"/>
    </row>
    <row r="930" spans="1:56" ht="12.55" x14ac:dyDescent="0.2">
      <c r="A930" s="88"/>
      <c r="B930" s="88"/>
      <c r="C930" s="88"/>
      <c r="D930" s="88"/>
      <c r="E930" s="88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88"/>
      <c r="AL930" s="88"/>
      <c r="AM930" s="88"/>
      <c r="AN930" s="88"/>
      <c r="AO930" s="88"/>
      <c r="AP930" s="88"/>
      <c r="AQ930" s="88"/>
      <c r="AR930" s="88"/>
      <c r="AS930" s="88"/>
      <c r="AT930" s="88"/>
      <c r="AU930" s="88"/>
      <c r="AV930" s="88"/>
      <c r="AW930" s="88"/>
      <c r="AX930" s="88"/>
      <c r="AY930" s="88"/>
      <c r="AZ930" s="88"/>
      <c r="BA930" s="88"/>
      <c r="BB930" s="88"/>
      <c r="BC930" s="88"/>
      <c r="BD930" s="88"/>
    </row>
    <row r="931" spans="1:56" ht="12.55" x14ac:dyDescent="0.2">
      <c r="A931" s="88"/>
      <c r="B931" s="88"/>
      <c r="C931" s="88"/>
      <c r="D931" s="88"/>
      <c r="E931" s="88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88"/>
      <c r="AL931" s="88"/>
      <c r="AM931" s="88"/>
      <c r="AN931" s="88"/>
      <c r="AO931" s="88"/>
      <c r="AP931" s="88"/>
      <c r="AQ931" s="88"/>
      <c r="AR931" s="88"/>
      <c r="AS931" s="88"/>
      <c r="AT931" s="88"/>
      <c r="AU931" s="88"/>
      <c r="AV931" s="88"/>
      <c r="AW931" s="88"/>
      <c r="AX931" s="88"/>
      <c r="AY931" s="88"/>
      <c r="AZ931" s="88"/>
      <c r="BA931" s="88"/>
      <c r="BB931" s="88"/>
      <c r="BC931" s="88"/>
      <c r="BD931" s="88"/>
    </row>
    <row r="932" spans="1:56" ht="12.55" x14ac:dyDescent="0.2">
      <c r="A932" s="88"/>
      <c r="B932" s="88"/>
      <c r="C932" s="88"/>
      <c r="D932" s="88"/>
      <c r="E932" s="88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88"/>
      <c r="AL932" s="88"/>
      <c r="AM932" s="88"/>
      <c r="AN932" s="88"/>
      <c r="AO932" s="88"/>
      <c r="AP932" s="88"/>
      <c r="AQ932" s="88"/>
      <c r="AR932" s="88"/>
      <c r="AS932" s="88"/>
      <c r="AT932" s="88"/>
      <c r="AU932" s="88"/>
      <c r="AV932" s="88"/>
      <c r="AW932" s="88"/>
      <c r="AX932" s="88"/>
      <c r="AY932" s="88"/>
      <c r="AZ932" s="88"/>
      <c r="BA932" s="88"/>
      <c r="BB932" s="88"/>
      <c r="BC932" s="88"/>
      <c r="BD932" s="88"/>
    </row>
    <row r="933" spans="1:56" ht="12.55" x14ac:dyDescent="0.2">
      <c r="A933" s="88"/>
      <c r="B933" s="88"/>
      <c r="C933" s="88"/>
      <c r="D933" s="88"/>
      <c r="E933" s="88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88"/>
      <c r="AL933" s="88"/>
      <c r="AM933" s="88"/>
      <c r="AN933" s="88"/>
      <c r="AO933" s="88"/>
      <c r="AP933" s="88"/>
      <c r="AQ933" s="88"/>
      <c r="AR933" s="88"/>
      <c r="AS933" s="88"/>
      <c r="AT933" s="88"/>
      <c r="AU933" s="88"/>
      <c r="AV933" s="88"/>
      <c r="AW933" s="88"/>
      <c r="AX933" s="88"/>
      <c r="AY933" s="88"/>
      <c r="AZ933" s="88"/>
      <c r="BA933" s="88"/>
      <c r="BB933" s="88"/>
      <c r="BC933" s="88"/>
      <c r="BD933" s="88"/>
    </row>
    <row r="934" spans="1:56" ht="12.55" x14ac:dyDescent="0.2">
      <c r="A934" s="88"/>
      <c r="B934" s="88"/>
      <c r="C934" s="88"/>
      <c r="D934" s="88"/>
      <c r="E934" s="88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88"/>
      <c r="AL934" s="88"/>
      <c r="AM934" s="88"/>
      <c r="AN934" s="88"/>
      <c r="AO934" s="88"/>
      <c r="AP934" s="88"/>
      <c r="AQ934" s="88"/>
      <c r="AR934" s="88"/>
      <c r="AS934" s="88"/>
      <c r="AT934" s="88"/>
      <c r="AU934" s="88"/>
      <c r="AV934" s="88"/>
      <c r="AW934" s="88"/>
      <c r="AX934" s="88"/>
      <c r="AY934" s="88"/>
      <c r="AZ934" s="88"/>
      <c r="BA934" s="88"/>
      <c r="BB934" s="88"/>
      <c r="BC934" s="88"/>
      <c r="BD934" s="88"/>
    </row>
    <row r="935" spans="1:56" ht="12.55" x14ac:dyDescent="0.2">
      <c r="A935" s="88"/>
      <c r="B935" s="88"/>
      <c r="C935" s="88"/>
      <c r="D935" s="88"/>
      <c r="E935" s="88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88"/>
      <c r="AL935" s="88"/>
      <c r="AM935" s="88"/>
      <c r="AN935" s="88"/>
      <c r="AO935" s="88"/>
      <c r="AP935" s="88"/>
      <c r="AQ935" s="88"/>
      <c r="AR935" s="88"/>
      <c r="AS935" s="88"/>
      <c r="AT935" s="88"/>
      <c r="AU935" s="88"/>
      <c r="AV935" s="88"/>
      <c r="AW935" s="88"/>
      <c r="AX935" s="88"/>
      <c r="AY935" s="88"/>
      <c r="AZ935" s="88"/>
      <c r="BA935" s="88"/>
      <c r="BB935" s="88"/>
      <c r="BC935" s="88"/>
      <c r="BD935" s="88"/>
    </row>
    <row r="936" spans="1:56" ht="12.55" x14ac:dyDescent="0.2">
      <c r="A936" s="88"/>
      <c r="B936" s="88"/>
      <c r="C936" s="88"/>
      <c r="D936" s="88"/>
      <c r="E936" s="88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88"/>
      <c r="AL936" s="88"/>
      <c r="AM936" s="88"/>
      <c r="AN936" s="88"/>
      <c r="AO936" s="88"/>
      <c r="AP936" s="88"/>
      <c r="AQ936" s="88"/>
      <c r="AR936" s="88"/>
      <c r="AS936" s="88"/>
      <c r="AT936" s="88"/>
      <c r="AU936" s="88"/>
      <c r="AV936" s="88"/>
      <c r="AW936" s="88"/>
      <c r="AX936" s="88"/>
      <c r="AY936" s="88"/>
      <c r="AZ936" s="88"/>
      <c r="BA936" s="88"/>
      <c r="BB936" s="88"/>
      <c r="BC936" s="88"/>
      <c r="BD936" s="88"/>
    </row>
    <row r="937" spans="1:56" ht="12.55" x14ac:dyDescent="0.2">
      <c r="A937" s="88"/>
      <c r="B937" s="88"/>
      <c r="C937" s="88"/>
      <c r="D937" s="88"/>
      <c r="E937" s="88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88"/>
      <c r="AL937" s="88"/>
      <c r="AM937" s="88"/>
      <c r="AN937" s="88"/>
      <c r="AO937" s="88"/>
      <c r="AP937" s="88"/>
      <c r="AQ937" s="88"/>
      <c r="AR937" s="88"/>
      <c r="AS937" s="88"/>
      <c r="AT937" s="88"/>
      <c r="AU937" s="88"/>
      <c r="AV937" s="88"/>
      <c r="AW937" s="88"/>
      <c r="AX937" s="88"/>
      <c r="AY937" s="88"/>
      <c r="AZ937" s="88"/>
      <c r="BA937" s="88"/>
      <c r="BB937" s="88"/>
      <c r="BC937" s="88"/>
      <c r="BD937" s="88"/>
    </row>
    <row r="938" spans="1:56" ht="12.55" x14ac:dyDescent="0.2">
      <c r="A938" s="88"/>
      <c r="B938" s="88"/>
      <c r="C938" s="88"/>
      <c r="D938" s="88"/>
      <c r="E938" s="88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88"/>
      <c r="AL938" s="88"/>
      <c r="AM938" s="88"/>
      <c r="AN938" s="88"/>
      <c r="AO938" s="88"/>
      <c r="AP938" s="88"/>
      <c r="AQ938" s="88"/>
      <c r="AR938" s="88"/>
      <c r="AS938" s="88"/>
      <c r="AT938" s="88"/>
      <c r="AU938" s="88"/>
      <c r="AV938" s="88"/>
      <c r="AW938" s="88"/>
      <c r="AX938" s="88"/>
      <c r="AY938" s="88"/>
      <c r="AZ938" s="88"/>
      <c r="BA938" s="88"/>
      <c r="BB938" s="88"/>
      <c r="BC938" s="88"/>
      <c r="BD938" s="88"/>
    </row>
    <row r="939" spans="1:56" ht="12.55" x14ac:dyDescent="0.2">
      <c r="A939" s="88"/>
      <c r="B939" s="88"/>
      <c r="C939" s="88"/>
      <c r="D939" s="88"/>
      <c r="E939" s="88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88"/>
      <c r="AL939" s="88"/>
      <c r="AM939" s="88"/>
      <c r="AN939" s="88"/>
      <c r="AO939" s="88"/>
      <c r="AP939" s="88"/>
      <c r="AQ939" s="88"/>
      <c r="AR939" s="88"/>
      <c r="AS939" s="88"/>
      <c r="AT939" s="88"/>
      <c r="AU939" s="88"/>
      <c r="AV939" s="88"/>
      <c r="AW939" s="88"/>
      <c r="AX939" s="88"/>
      <c r="AY939" s="88"/>
      <c r="AZ939" s="88"/>
      <c r="BA939" s="88"/>
      <c r="BB939" s="88"/>
      <c r="BC939" s="88"/>
      <c r="BD939" s="88"/>
    </row>
    <row r="940" spans="1:56" ht="12.55" x14ac:dyDescent="0.2">
      <c r="A940" s="88"/>
      <c r="B940" s="88"/>
      <c r="C940" s="88"/>
      <c r="D940" s="88"/>
      <c r="E940" s="88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88"/>
      <c r="AL940" s="88"/>
      <c r="AM940" s="88"/>
      <c r="AN940" s="88"/>
      <c r="AO940" s="88"/>
      <c r="AP940" s="88"/>
      <c r="AQ940" s="88"/>
      <c r="AR940" s="88"/>
      <c r="AS940" s="88"/>
      <c r="AT940" s="88"/>
      <c r="AU940" s="88"/>
      <c r="AV940" s="88"/>
      <c r="AW940" s="88"/>
      <c r="AX940" s="88"/>
      <c r="AY940" s="88"/>
      <c r="AZ940" s="88"/>
      <c r="BA940" s="88"/>
      <c r="BB940" s="88"/>
      <c r="BC940" s="88"/>
      <c r="BD940" s="88"/>
    </row>
    <row r="941" spans="1:56" ht="12.55" x14ac:dyDescent="0.2">
      <c r="A941" s="88"/>
      <c r="B941" s="88"/>
      <c r="C941" s="88"/>
      <c r="D941" s="88"/>
      <c r="E941" s="88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88"/>
      <c r="AL941" s="88"/>
      <c r="AM941" s="88"/>
      <c r="AN941" s="88"/>
      <c r="AO941" s="88"/>
      <c r="AP941" s="88"/>
      <c r="AQ941" s="88"/>
      <c r="AR941" s="88"/>
      <c r="AS941" s="88"/>
      <c r="AT941" s="88"/>
      <c r="AU941" s="88"/>
      <c r="AV941" s="88"/>
      <c r="AW941" s="88"/>
      <c r="AX941" s="88"/>
      <c r="AY941" s="88"/>
      <c r="AZ941" s="88"/>
      <c r="BA941" s="88"/>
      <c r="BB941" s="88"/>
      <c r="BC941" s="88"/>
      <c r="BD941" s="88"/>
    </row>
    <row r="942" spans="1:56" ht="12.55" x14ac:dyDescent="0.2">
      <c r="A942" s="88"/>
      <c r="B942" s="88"/>
      <c r="C942" s="88"/>
      <c r="D942" s="88"/>
      <c r="E942" s="88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88"/>
      <c r="AL942" s="88"/>
      <c r="AM942" s="88"/>
      <c r="AN942" s="88"/>
      <c r="AO942" s="88"/>
      <c r="AP942" s="88"/>
      <c r="AQ942" s="88"/>
      <c r="AR942" s="88"/>
      <c r="AS942" s="88"/>
      <c r="AT942" s="88"/>
      <c r="AU942" s="88"/>
      <c r="AV942" s="88"/>
      <c r="AW942" s="88"/>
      <c r="AX942" s="88"/>
      <c r="AY942" s="88"/>
      <c r="AZ942" s="88"/>
      <c r="BA942" s="88"/>
      <c r="BB942" s="88"/>
      <c r="BC942" s="88"/>
      <c r="BD942" s="88"/>
    </row>
    <row r="943" spans="1:56" ht="12.55" x14ac:dyDescent="0.2">
      <c r="A943" s="88"/>
      <c r="B943" s="88"/>
      <c r="C943" s="88"/>
      <c r="D943" s="88"/>
      <c r="E943" s="88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88"/>
      <c r="AL943" s="88"/>
      <c r="AM943" s="88"/>
      <c r="AN943" s="88"/>
      <c r="AO943" s="88"/>
      <c r="AP943" s="88"/>
      <c r="AQ943" s="88"/>
      <c r="AR943" s="88"/>
      <c r="AS943" s="88"/>
      <c r="AT943" s="88"/>
      <c r="AU943" s="88"/>
      <c r="AV943" s="88"/>
      <c r="AW943" s="88"/>
      <c r="AX943" s="88"/>
      <c r="AY943" s="88"/>
      <c r="AZ943" s="88"/>
      <c r="BA943" s="88"/>
      <c r="BB943" s="88"/>
      <c r="BC943" s="88"/>
      <c r="BD943" s="88"/>
    </row>
    <row r="944" spans="1:56" ht="12.55" x14ac:dyDescent="0.2">
      <c r="A944" s="88"/>
      <c r="B944" s="88"/>
      <c r="C944" s="88"/>
      <c r="D944" s="88"/>
      <c r="E944" s="88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88"/>
      <c r="AL944" s="88"/>
      <c r="AM944" s="88"/>
      <c r="AN944" s="88"/>
      <c r="AO944" s="88"/>
      <c r="AP944" s="88"/>
      <c r="AQ944" s="88"/>
      <c r="AR944" s="88"/>
      <c r="AS944" s="88"/>
      <c r="AT944" s="88"/>
      <c r="AU944" s="88"/>
      <c r="AV944" s="88"/>
      <c r="AW944" s="88"/>
      <c r="AX944" s="88"/>
      <c r="AY944" s="88"/>
      <c r="AZ944" s="88"/>
      <c r="BA944" s="88"/>
      <c r="BB944" s="88"/>
      <c r="BC944" s="88"/>
      <c r="BD944" s="88"/>
    </row>
    <row r="945" spans="1:56" ht="12.55" x14ac:dyDescent="0.2">
      <c r="A945" s="88"/>
      <c r="B945" s="88"/>
      <c r="C945" s="88"/>
      <c r="D945" s="88"/>
      <c r="E945" s="88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88"/>
      <c r="AL945" s="88"/>
      <c r="AM945" s="88"/>
      <c r="AN945" s="88"/>
      <c r="AO945" s="88"/>
      <c r="AP945" s="88"/>
      <c r="AQ945" s="88"/>
      <c r="AR945" s="88"/>
      <c r="AS945" s="88"/>
      <c r="AT945" s="88"/>
      <c r="AU945" s="88"/>
      <c r="AV945" s="88"/>
      <c r="AW945" s="88"/>
      <c r="AX945" s="88"/>
      <c r="AY945" s="88"/>
      <c r="AZ945" s="88"/>
      <c r="BA945" s="88"/>
      <c r="BB945" s="88"/>
      <c r="BC945" s="88"/>
      <c r="BD945" s="88"/>
    </row>
    <row r="946" spans="1:56" ht="12.55" x14ac:dyDescent="0.2">
      <c r="A946" s="88"/>
      <c r="B946" s="88"/>
      <c r="C946" s="88"/>
      <c r="D946" s="88"/>
      <c r="E946" s="88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88"/>
      <c r="AL946" s="88"/>
      <c r="AM946" s="88"/>
      <c r="AN946" s="88"/>
      <c r="AO946" s="88"/>
      <c r="AP946" s="88"/>
      <c r="AQ946" s="88"/>
      <c r="AR946" s="88"/>
      <c r="AS946" s="88"/>
      <c r="AT946" s="88"/>
      <c r="AU946" s="88"/>
      <c r="AV946" s="88"/>
      <c r="AW946" s="88"/>
      <c r="AX946" s="88"/>
      <c r="AY946" s="88"/>
      <c r="AZ946" s="88"/>
      <c r="BA946" s="88"/>
      <c r="BB946" s="88"/>
      <c r="BC946" s="88"/>
      <c r="BD946" s="88"/>
    </row>
    <row r="947" spans="1:56" ht="12.55" x14ac:dyDescent="0.2">
      <c r="A947" s="88"/>
      <c r="B947" s="88"/>
      <c r="C947" s="88"/>
      <c r="D947" s="88"/>
      <c r="E947" s="88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88"/>
      <c r="AL947" s="88"/>
      <c r="AM947" s="88"/>
      <c r="AN947" s="88"/>
      <c r="AO947" s="88"/>
      <c r="AP947" s="88"/>
      <c r="AQ947" s="88"/>
      <c r="AR947" s="88"/>
      <c r="AS947" s="88"/>
      <c r="AT947" s="88"/>
      <c r="AU947" s="88"/>
      <c r="AV947" s="88"/>
      <c r="AW947" s="88"/>
      <c r="AX947" s="88"/>
      <c r="AY947" s="88"/>
      <c r="AZ947" s="88"/>
      <c r="BA947" s="88"/>
      <c r="BB947" s="88"/>
      <c r="BC947" s="88"/>
      <c r="BD947" s="88"/>
    </row>
    <row r="948" spans="1:56" ht="12.55" x14ac:dyDescent="0.2">
      <c r="A948" s="88"/>
      <c r="B948" s="88"/>
      <c r="C948" s="88"/>
      <c r="D948" s="88"/>
      <c r="E948" s="88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88"/>
      <c r="AL948" s="88"/>
      <c r="AM948" s="88"/>
      <c r="AN948" s="88"/>
      <c r="AO948" s="88"/>
      <c r="AP948" s="88"/>
      <c r="AQ948" s="88"/>
      <c r="AR948" s="88"/>
      <c r="AS948" s="88"/>
      <c r="AT948" s="88"/>
      <c r="AU948" s="88"/>
      <c r="AV948" s="88"/>
      <c r="AW948" s="88"/>
      <c r="AX948" s="88"/>
      <c r="AY948" s="88"/>
      <c r="AZ948" s="88"/>
      <c r="BA948" s="88"/>
      <c r="BB948" s="88"/>
      <c r="BC948" s="88"/>
      <c r="BD948" s="88"/>
    </row>
    <row r="949" spans="1:56" ht="12.55" x14ac:dyDescent="0.2">
      <c r="A949" s="88"/>
      <c r="B949" s="88"/>
      <c r="C949" s="88"/>
      <c r="D949" s="88"/>
      <c r="E949" s="88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88"/>
      <c r="AL949" s="88"/>
      <c r="AM949" s="88"/>
      <c r="AN949" s="88"/>
      <c r="AO949" s="88"/>
      <c r="AP949" s="88"/>
      <c r="AQ949" s="88"/>
      <c r="AR949" s="88"/>
      <c r="AS949" s="88"/>
      <c r="AT949" s="88"/>
      <c r="AU949" s="88"/>
      <c r="AV949" s="88"/>
      <c r="AW949" s="88"/>
      <c r="AX949" s="88"/>
      <c r="AY949" s="88"/>
      <c r="AZ949" s="88"/>
      <c r="BA949" s="88"/>
      <c r="BB949" s="88"/>
      <c r="BC949" s="88"/>
      <c r="BD949" s="88"/>
    </row>
    <row r="950" spans="1:56" ht="12.55" x14ac:dyDescent="0.2">
      <c r="A950" s="88"/>
      <c r="B950" s="88"/>
      <c r="C950" s="88"/>
      <c r="D950" s="88"/>
      <c r="E950" s="88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88"/>
      <c r="AL950" s="88"/>
      <c r="AM950" s="88"/>
      <c r="AN950" s="88"/>
      <c r="AO950" s="88"/>
      <c r="AP950" s="88"/>
      <c r="AQ950" s="88"/>
      <c r="AR950" s="88"/>
      <c r="AS950" s="88"/>
      <c r="AT950" s="88"/>
      <c r="AU950" s="88"/>
      <c r="AV950" s="88"/>
      <c r="AW950" s="88"/>
      <c r="AX950" s="88"/>
      <c r="AY950" s="88"/>
      <c r="AZ950" s="88"/>
      <c r="BA950" s="88"/>
      <c r="BB950" s="88"/>
      <c r="BC950" s="88"/>
      <c r="BD950" s="88"/>
    </row>
    <row r="951" spans="1:56" ht="12.55" x14ac:dyDescent="0.2">
      <c r="A951" s="88"/>
      <c r="B951" s="88"/>
      <c r="C951" s="88"/>
      <c r="D951" s="88"/>
      <c r="E951" s="88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88"/>
      <c r="AL951" s="88"/>
      <c r="AM951" s="88"/>
      <c r="AN951" s="88"/>
      <c r="AO951" s="88"/>
      <c r="AP951" s="88"/>
      <c r="AQ951" s="88"/>
      <c r="AR951" s="88"/>
      <c r="AS951" s="88"/>
      <c r="AT951" s="88"/>
      <c r="AU951" s="88"/>
      <c r="AV951" s="88"/>
      <c r="AW951" s="88"/>
      <c r="AX951" s="88"/>
      <c r="AY951" s="88"/>
      <c r="AZ951" s="88"/>
      <c r="BA951" s="88"/>
      <c r="BB951" s="88"/>
      <c r="BC951" s="88"/>
      <c r="BD951" s="88"/>
    </row>
    <row r="952" spans="1:56" ht="12.55" x14ac:dyDescent="0.2">
      <c r="A952" s="88"/>
      <c r="B952" s="88"/>
      <c r="C952" s="88"/>
      <c r="D952" s="88"/>
      <c r="E952" s="88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88"/>
      <c r="AL952" s="88"/>
      <c r="AM952" s="88"/>
      <c r="AN952" s="88"/>
      <c r="AO952" s="88"/>
      <c r="AP952" s="88"/>
      <c r="AQ952" s="88"/>
      <c r="AR952" s="88"/>
      <c r="AS952" s="88"/>
      <c r="AT952" s="88"/>
      <c r="AU952" s="88"/>
      <c r="AV952" s="88"/>
      <c r="AW952" s="88"/>
      <c r="AX952" s="88"/>
      <c r="AY952" s="88"/>
      <c r="AZ952" s="88"/>
      <c r="BA952" s="88"/>
      <c r="BB952" s="88"/>
      <c r="BC952" s="88"/>
      <c r="BD952" s="88"/>
    </row>
    <row r="953" spans="1:56" ht="12.55" x14ac:dyDescent="0.2">
      <c r="A953" s="88"/>
      <c r="B953" s="88"/>
      <c r="C953" s="88"/>
      <c r="D953" s="88"/>
      <c r="E953" s="88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88"/>
      <c r="AL953" s="88"/>
      <c r="AM953" s="88"/>
      <c r="AN953" s="88"/>
      <c r="AO953" s="88"/>
      <c r="AP953" s="88"/>
      <c r="AQ953" s="88"/>
      <c r="AR953" s="88"/>
      <c r="AS953" s="88"/>
      <c r="AT953" s="88"/>
      <c r="AU953" s="88"/>
      <c r="AV953" s="88"/>
      <c r="AW953" s="88"/>
      <c r="AX953" s="88"/>
      <c r="AY953" s="88"/>
      <c r="AZ953" s="88"/>
      <c r="BA953" s="88"/>
      <c r="BB953" s="88"/>
      <c r="BC953" s="88"/>
      <c r="BD953" s="88"/>
    </row>
    <row r="954" spans="1:56" ht="12.55" x14ac:dyDescent="0.2">
      <c r="A954" s="88"/>
      <c r="B954" s="88"/>
      <c r="C954" s="88"/>
      <c r="D954" s="88"/>
      <c r="E954" s="88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88"/>
      <c r="AL954" s="88"/>
      <c r="AM954" s="88"/>
      <c r="AN954" s="88"/>
      <c r="AO954" s="88"/>
      <c r="AP954" s="88"/>
      <c r="AQ954" s="88"/>
      <c r="AR954" s="88"/>
      <c r="AS954" s="88"/>
      <c r="AT954" s="88"/>
      <c r="AU954" s="88"/>
      <c r="AV954" s="88"/>
      <c r="AW954" s="88"/>
      <c r="AX954" s="88"/>
      <c r="AY954" s="88"/>
      <c r="AZ954" s="88"/>
      <c r="BA954" s="88"/>
      <c r="BB954" s="88"/>
      <c r="BC954" s="88"/>
      <c r="BD954" s="88"/>
    </row>
    <row r="955" spans="1:56" ht="12.55" x14ac:dyDescent="0.2">
      <c r="A955" s="88"/>
      <c r="B955" s="88"/>
      <c r="C955" s="88"/>
      <c r="D955" s="88"/>
      <c r="E955" s="88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88"/>
      <c r="AL955" s="88"/>
      <c r="AM955" s="88"/>
      <c r="AN955" s="88"/>
      <c r="AO955" s="88"/>
      <c r="AP955" s="88"/>
      <c r="AQ955" s="88"/>
      <c r="AR955" s="88"/>
      <c r="AS955" s="88"/>
      <c r="AT955" s="88"/>
      <c r="AU955" s="88"/>
      <c r="AV955" s="88"/>
      <c r="AW955" s="88"/>
      <c r="AX955" s="88"/>
      <c r="AY955" s="88"/>
      <c r="AZ955" s="88"/>
      <c r="BA955" s="88"/>
      <c r="BB955" s="88"/>
      <c r="BC955" s="88"/>
      <c r="BD955" s="88"/>
    </row>
    <row r="956" spans="1:56" ht="12.55" x14ac:dyDescent="0.2">
      <c r="A956" s="88"/>
      <c r="B956" s="88"/>
      <c r="C956" s="88"/>
      <c r="D956" s="88"/>
      <c r="E956" s="88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88"/>
      <c r="AL956" s="88"/>
      <c r="AM956" s="88"/>
      <c r="AN956" s="88"/>
      <c r="AO956" s="88"/>
      <c r="AP956" s="88"/>
      <c r="AQ956" s="88"/>
      <c r="AR956" s="88"/>
      <c r="AS956" s="88"/>
      <c r="AT956" s="88"/>
      <c r="AU956" s="88"/>
      <c r="AV956" s="88"/>
      <c r="AW956" s="88"/>
      <c r="AX956" s="88"/>
      <c r="AY956" s="88"/>
      <c r="AZ956" s="88"/>
      <c r="BA956" s="88"/>
      <c r="BB956" s="88"/>
      <c r="BC956" s="88"/>
      <c r="BD956" s="88"/>
    </row>
    <row r="957" spans="1:56" ht="12.55" x14ac:dyDescent="0.2">
      <c r="A957" s="88"/>
      <c r="B957" s="88"/>
      <c r="C957" s="88"/>
      <c r="D957" s="88"/>
      <c r="E957" s="88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88"/>
      <c r="AL957" s="88"/>
      <c r="AM957" s="88"/>
      <c r="AN957" s="88"/>
      <c r="AO957" s="88"/>
      <c r="AP957" s="88"/>
      <c r="AQ957" s="88"/>
      <c r="AR957" s="88"/>
      <c r="AS957" s="88"/>
      <c r="AT957" s="88"/>
      <c r="AU957" s="88"/>
      <c r="AV957" s="88"/>
      <c r="AW957" s="88"/>
      <c r="AX957" s="88"/>
      <c r="AY957" s="88"/>
      <c r="AZ957" s="88"/>
      <c r="BA957" s="88"/>
      <c r="BB957" s="88"/>
      <c r="BC957" s="88"/>
      <c r="BD957" s="88"/>
    </row>
    <row r="958" spans="1:56" ht="12.55" x14ac:dyDescent="0.2">
      <c r="A958" s="88"/>
      <c r="B958" s="88"/>
      <c r="C958" s="88"/>
      <c r="D958" s="88"/>
      <c r="E958" s="88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88"/>
      <c r="AL958" s="88"/>
      <c r="AM958" s="88"/>
      <c r="AN958" s="88"/>
      <c r="AO958" s="88"/>
      <c r="AP958" s="88"/>
      <c r="AQ958" s="88"/>
      <c r="AR958" s="88"/>
      <c r="AS958" s="88"/>
      <c r="AT958" s="88"/>
      <c r="AU958" s="88"/>
      <c r="AV958" s="88"/>
      <c r="AW958" s="88"/>
      <c r="AX958" s="88"/>
      <c r="AY958" s="88"/>
      <c r="AZ958" s="88"/>
      <c r="BA958" s="88"/>
      <c r="BB958" s="88"/>
      <c r="BC958" s="88"/>
      <c r="BD958" s="88"/>
    </row>
    <row r="959" spans="1:56" ht="12.55" x14ac:dyDescent="0.2">
      <c r="A959" s="88"/>
      <c r="B959" s="88"/>
      <c r="C959" s="88"/>
      <c r="D959" s="88"/>
      <c r="E959" s="88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88"/>
      <c r="AL959" s="88"/>
      <c r="AM959" s="88"/>
      <c r="AN959" s="88"/>
      <c r="AO959" s="88"/>
      <c r="AP959" s="88"/>
      <c r="AQ959" s="88"/>
      <c r="AR959" s="88"/>
      <c r="AS959" s="88"/>
      <c r="AT959" s="88"/>
      <c r="AU959" s="88"/>
      <c r="AV959" s="88"/>
      <c r="AW959" s="88"/>
      <c r="AX959" s="88"/>
      <c r="AY959" s="88"/>
      <c r="AZ959" s="88"/>
      <c r="BA959" s="88"/>
      <c r="BB959" s="88"/>
      <c r="BC959" s="88"/>
      <c r="BD959" s="88"/>
    </row>
    <row r="960" spans="1:56" ht="12.55" x14ac:dyDescent="0.2">
      <c r="A960" s="88"/>
      <c r="B960" s="88"/>
      <c r="C960" s="88"/>
      <c r="D960" s="88"/>
      <c r="E960" s="88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88"/>
      <c r="AL960" s="88"/>
      <c r="AM960" s="88"/>
      <c r="AN960" s="88"/>
      <c r="AO960" s="88"/>
      <c r="AP960" s="88"/>
      <c r="AQ960" s="88"/>
      <c r="AR960" s="88"/>
      <c r="AS960" s="88"/>
      <c r="AT960" s="88"/>
      <c r="AU960" s="88"/>
      <c r="AV960" s="88"/>
      <c r="AW960" s="88"/>
      <c r="AX960" s="88"/>
      <c r="AY960" s="88"/>
      <c r="AZ960" s="88"/>
      <c r="BA960" s="88"/>
      <c r="BB960" s="88"/>
      <c r="BC960" s="88"/>
      <c r="BD960" s="88"/>
    </row>
    <row r="961" spans="1:56" ht="12.55" x14ac:dyDescent="0.2">
      <c r="A961" s="88"/>
      <c r="B961" s="88"/>
      <c r="C961" s="88"/>
      <c r="D961" s="88"/>
      <c r="E961" s="88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88"/>
      <c r="AL961" s="88"/>
      <c r="AM961" s="88"/>
      <c r="AN961" s="88"/>
      <c r="AO961" s="88"/>
      <c r="AP961" s="88"/>
      <c r="AQ961" s="88"/>
      <c r="AR961" s="88"/>
      <c r="AS961" s="88"/>
      <c r="AT961" s="88"/>
      <c r="AU961" s="88"/>
      <c r="AV961" s="88"/>
      <c r="AW961" s="88"/>
      <c r="AX961" s="88"/>
      <c r="AY961" s="88"/>
      <c r="AZ961" s="88"/>
      <c r="BA961" s="88"/>
      <c r="BB961" s="88"/>
      <c r="BC961" s="88"/>
      <c r="BD961" s="88"/>
    </row>
    <row r="962" spans="1:56" ht="12.55" x14ac:dyDescent="0.2">
      <c r="A962" s="88"/>
      <c r="B962" s="88"/>
      <c r="C962" s="88"/>
      <c r="D962" s="88"/>
      <c r="E962" s="88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88"/>
      <c r="AL962" s="88"/>
      <c r="AM962" s="88"/>
      <c r="AN962" s="88"/>
      <c r="AO962" s="88"/>
      <c r="AP962" s="88"/>
      <c r="AQ962" s="88"/>
      <c r="AR962" s="88"/>
      <c r="AS962" s="88"/>
      <c r="AT962" s="88"/>
      <c r="AU962" s="88"/>
      <c r="AV962" s="88"/>
      <c r="AW962" s="88"/>
      <c r="AX962" s="88"/>
      <c r="AY962" s="88"/>
      <c r="AZ962" s="88"/>
      <c r="BA962" s="88"/>
      <c r="BB962" s="88"/>
      <c r="BC962" s="88"/>
      <c r="BD962" s="88"/>
    </row>
    <row r="963" spans="1:56" ht="12.55" x14ac:dyDescent="0.2">
      <c r="A963" s="88"/>
      <c r="B963" s="88"/>
      <c r="C963" s="88"/>
      <c r="D963" s="88"/>
      <c r="E963" s="88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88"/>
      <c r="AL963" s="88"/>
      <c r="AM963" s="88"/>
      <c r="AN963" s="88"/>
      <c r="AO963" s="88"/>
      <c r="AP963" s="88"/>
      <c r="AQ963" s="88"/>
      <c r="AR963" s="88"/>
      <c r="AS963" s="88"/>
      <c r="AT963" s="88"/>
      <c r="AU963" s="88"/>
      <c r="AV963" s="88"/>
      <c r="AW963" s="88"/>
      <c r="AX963" s="88"/>
      <c r="AY963" s="88"/>
      <c r="AZ963" s="88"/>
      <c r="BA963" s="88"/>
      <c r="BB963" s="88"/>
      <c r="BC963" s="88"/>
      <c r="BD963" s="88"/>
    </row>
    <row r="964" spans="1:56" ht="12.55" x14ac:dyDescent="0.2">
      <c r="A964" s="88"/>
      <c r="B964" s="88"/>
      <c r="C964" s="88"/>
      <c r="D964" s="88"/>
      <c r="E964" s="88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88"/>
      <c r="AL964" s="88"/>
      <c r="AM964" s="88"/>
      <c r="AN964" s="88"/>
      <c r="AO964" s="88"/>
      <c r="AP964" s="88"/>
      <c r="AQ964" s="88"/>
      <c r="AR964" s="88"/>
      <c r="AS964" s="88"/>
      <c r="AT964" s="88"/>
      <c r="AU964" s="88"/>
      <c r="AV964" s="88"/>
      <c r="AW964" s="88"/>
      <c r="AX964" s="88"/>
      <c r="AY964" s="88"/>
      <c r="AZ964" s="88"/>
      <c r="BA964" s="88"/>
      <c r="BB964" s="88"/>
      <c r="BC964" s="88"/>
      <c r="BD964" s="88"/>
    </row>
    <row r="965" spans="1:56" ht="12.55" x14ac:dyDescent="0.2">
      <c r="A965" s="88"/>
      <c r="B965" s="88"/>
      <c r="C965" s="88"/>
      <c r="D965" s="88"/>
      <c r="E965" s="88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88"/>
      <c r="AL965" s="88"/>
      <c r="AM965" s="88"/>
      <c r="AN965" s="88"/>
      <c r="AO965" s="88"/>
      <c r="AP965" s="88"/>
      <c r="AQ965" s="88"/>
      <c r="AR965" s="88"/>
      <c r="AS965" s="88"/>
      <c r="AT965" s="88"/>
      <c r="AU965" s="88"/>
      <c r="AV965" s="88"/>
      <c r="AW965" s="88"/>
      <c r="AX965" s="88"/>
      <c r="AY965" s="88"/>
      <c r="AZ965" s="88"/>
      <c r="BA965" s="88"/>
      <c r="BB965" s="88"/>
      <c r="BC965" s="88"/>
      <c r="BD965" s="88"/>
    </row>
    <row r="966" spans="1:56" ht="12.55" x14ac:dyDescent="0.2">
      <c r="A966" s="88"/>
      <c r="B966" s="88"/>
      <c r="C966" s="88"/>
      <c r="D966" s="88"/>
      <c r="E966" s="88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88"/>
      <c r="AL966" s="88"/>
      <c r="AM966" s="88"/>
      <c r="AN966" s="88"/>
      <c r="AO966" s="88"/>
      <c r="AP966" s="88"/>
      <c r="AQ966" s="88"/>
      <c r="AR966" s="88"/>
      <c r="AS966" s="88"/>
      <c r="AT966" s="88"/>
      <c r="AU966" s="88"/>
      <c r="AV966" s="88"/>
      <c r="AW966" s="88"/>
      <c r="AX966" s="88"/>
      <c r="AY966" s="88"/>
      <c r="AZ966" s="88"/>
      <c r="BA966" s="88"/>
      <c r="BB966" s="88"/>
      <c r="BC966" s="88"/>
      <c r="BD966" s="88"/>
    </row>
    <row r="967" spans="1:56" ht="12.55" x14ac:dyDescent="0.2">
      <c r="A967" s="88"/>
      <c r="B967" s="88"/>
      <c r="C967" s="88"/>
      <c r="D967" s="88"/>
      <c r="E967" s="88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88"/>
      <c r="AL967" s="88"/>
      <c r="AM967" s="88"/>
      <c r="AN967" s="88"/>
      <c r="AO967" s="88"/>
      <c r="AP967" s="88"/>
      <c r="AQ967" s="88"/>
      <c r="AR967" s="88"/>
      <c r="AS967" s="88"/>
      <c r="AT967" s="88"/>
      <c r="AU967" s="88"/>
      <c r="AV967" s="88"/>
      <c r="AW967" s="88"/>
      <c r="AX967" s="88"/>
      <c r="AY967" s="88"/>
      <c r="AZ967" s="88"/>
      <c r="BA967" s="88"/>
      <c r="BB967" s="88"/>
      <c r="BC967" s="88"/>
      <c r="BD967" s="88"/>
    </row>
    <row r="968" spans="1:56" ht="12.55" x14ac:dyDescent="0.2">
      <c r="A968" s="88"/>
      <c r="B968" s="88"/>
      <c r="C968" s="88"/>
      <c r="D968" s="88"/>
      <c r="E968" s="88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88"/>
      <c r="AL968" s="88"/>
      <c r="AM968" s="88"/>
      <c r="AN968" s="88"/>
      <c r="AO968" s="88"/>
      <c r="AP968" s="88"/>
      <c r="AQ968" s="88"/>
      <c r="AR968" s="88"/>
      <c r="AS968" s="88"/>
      <c r="AT968" s="88"/>
      <c r="AU968" s="88"/>
      <c r="AV968" s="88"/>
      <c r="AW968" s="88"/>
      <c r="AX968" s="88"/>
      <c r="AY968" s="88"/>
      <c r="AZ968" s="88"/>
      <c r="BA968" s="88"/>
      <c r="BB968" s="88"/>
      <c r="BC968" s="88"/>
      <c r="BD968" s="88"/>
    </row>
    <row r="969" spans="1:56" ht="12.55" x14ac:dyDescent="0.2">
      <c r="A969" s="88"/>
      <c r="B969" s="88"/>
      <c r="C969" s="88"/>
      <c r="D969" s="88"/>
      <c r="E969" s="88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88"/>
      <c r="AL969" s="88"/>
      <c r="AM969" s="88"/>
      <c r="AN969" s="88"/>
      <c r="AO969" s="88"/>
      <c r="AP969" s="88"/>
      <c r="AQ969" s="88"/>
      <c r="AR969" s="88"/>
      <c r="AS969" s="88"/>
      <c r="AT969" s="88"/>
      <c r="AU969" s="88"/>
      <c r="AV969" s="88"/>
      <c r="AW969" s="88"/>
      <c r="AX969" s="88"/>
      <c r="AY969" s="88"/>
      <c r="AZ969" s="88"/>
      <c r="BA969" s="88"/>
      <c r="BB969" s="88"/>
      <c r="BC969" s="88"/>
      <c r="BD969" s="88"/>
    </row>
    <row r="970" spans="1:56" ht="12.55" x14ac:dyDescent="0.2">
      <c r="A970" s="88"/>
      <c r="B970" s="88"/>
      <c r="C970" s="88"/>
      <c r="D970" s="88"/>
      <c r="E970" s="88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88"/>
      <c r="AL970" s="88"/>
      <c r="AM970" s="88"/>
      <c r="AN970" s="88"/>
      <c r="AO970" s="88"/>
      <c r="AP970" s="88"/>
      <c r="AQ970" s="88"/>
      <c r="AR970" s="88"/>
      <c r="AS970" s="88"/>
      <c r="AT970" s="88"/>
      <c r="AU970" s="88"/>
      <c r="AV970" s="88"/>
      <c r="AW970" s="88"/>
      <c r="AX970" s="88"/>
      <c r="AY970" s="88"/>
      <c r="AZ970" s="88"/>
      <c r="BA970" s="88"/>
      <c r="BB970" s="88"/>
      <c r="BC970" s="88"/>
      <c r="BD970" s="88"/>
    </row>
    <row r="971" spans="1:56" ht="12.55" x14ac:dyDescent="0.2">
      <c r="A971" s="88"/>
      <c r="B971" s="88"/>
      <c r="C971" s="88"/>
      <c r="D971" s="88"/>
      <c r="E971" s="88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88"/>
      <c r="AL971" s="88"/>
      <c r="AM971" s="88"/>
      <c r="AN971" s="88"/>
      <c r="AO971" s="88"/>
      <c r="AP971" s="88"/>
      <c r="AQ971" s="88"/>
      <c r="AR971" s="88"/>
      <c r="AS971" s="88"/>
      <c r="AT971" s="88"/>
      <c r="AU971" s="88"/>
      <c r="AV971" s="88"/>
      <c r="AW971" s="88"/>
      <c r="AX971" s="88"/>
      <c r="AY971" s="88"/>
      <c r="AZ971" s="88"/>
      <c r="BA971" s="88"/>
      <c r="BB971" s="88"/>
      <c r="BC971" s="88"/>
      <c r="BD971" s="88"/>
    </row>
    <row r="972" spans="1:56" ht="12.55" x14ac:dyDescent="0.2">
      <c r="A972" s="88"/>
      <c r="B972" s="88"/>
      <c r="C972" s="88"/>
      <c r="D972" s="88"/>
      <c r="E972" s="88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88"/>
      <c r="AL972" s="88"/>
      <c r="AM972" s="88"/>
      <c r="AN972" s="88"/>
      <c r="AO972" s="88"/>
      <c r="AP972" s="88"/>
      <c r="AQ972" s="88"/>
      <c r="AR972" s="88"/>
      <c r="AS972" s="88"/>
      <c r="AT972" s="88"/>
      <c r="AU972" s="88"/>
      <c r="AV972" s="88"/>
      <c r="AW972" s="88"/>
      <c r="AX972" s="88"/>
      <c r="AY972" s="88"/>
      <c r="AZ972" s="88"/>
      <c r="BA972" s="88"/>
      <c r="BB972" s="88"/>
      <c r="BC972" s="88"/>
      <c r="BD972" s="88"/>
    </row>
    <row r="973" spans="1:56" ht="12.55" x14ac:dyDescent="0.2">
      <c r="A973" s="88"/>
      <c r="B973" s="88"/>
      <c r="C973" s="88"/>
      <c r="D973" s="88"/>
      <c r="E973" s="88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88"/>
      <c r="AL973" s="88"/>
      <c r="AM973" s="88"/>
      <c r="AN973" s="88"/>
      <c r="AO973" s="88"/>
      <c r="AP973" s="88"/>
      <c r="AQ973" s="88"/>
      <c r="AR973" s="88"/>
      <c r="AS973" s="88"/>
      <c r="AT973" s="88"/>
      <c r="AU973" s="88"/>
      <c r="AV973" s="88"/>
      <c r="AW973" s="88"/>
      <c r="AX973" s="88"/>
      <c r="AY973" s="88"/>
      <c r="AZ973" s="88"/>
      <c r="BA973" s="88"/>
      <c r="BB973" s="88"/>
      <c r="BC973" s="88"/>
      <c r="BD973" s="88"/>
    </row>
    <row r="974" spans="1:56" ht="12.55" x14ac:dyDescent="0.2">
      <c r="A974" s="88"/>
      <c r="B974" s="88"/>
      <c r="C974" s="88"/>
      <c r="D974" s="88"/>
      <c r="E974" s="88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88"/>
      <c r="AL974" s="88"/>
      <c r="AM974" s="88"/>
      <c r="AN974" s="88"/>
      <c r="AO974" s="88"/>
      <c r="AP974" s="88"/>
      <c r="AQ974" s="88"/>
      <c r="AR974" s="88"/>
      <c r="AS974" s="88"/>
      <c r="AT974" s="88"/>
      <c r="AU974" s="88"/>
      <c r="AV974" s="88"/>
      <c r="AW974" s="88"/>
      <c r="AX974" s="88"/>
      <c r="AY974" s="88"/>
      <c r="AZ974" s="88"/>
      <c r="BA974" s="88"/>
      <c r="BB974" s="88"/>
      <c r="BC974" s="88"/>
      <c r="BD974" s="88"/>
    </row>
    <row r="975" spans="1:56" ht="12.55" x14ac:dyDescent="0.2">
      <c r="A975" s="88"/>
      <c r="B975" s="88"/>
      <c r="C975" s="88"/>
      <c r="D975" s="88"/>
      <c r="E975" s="88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88"/>
      <c r="AL975" s="88"/>
      <c r="AM975" s="88"/>
      <c r="AN975" s="88"/>
      <c r="AO975" s="88"/>
      <c r="AP975" s="88"/>
      <c r="AQ975" s="88"/>
      <c r="AR975" s="88"/>
      <c r="AS975" s="88"/>
      <c r="AT975" s="88"/>
      <c r="AU975" s="88"/>
      <c r="AV975" s="88"/>
      <c r="AW975" s="88"/>
      <c r="AX975" s="88"/>
      <c r="AY975" s="88"/>
      <c r="AZ975" s="88"/>
      <c r="BA975" s="88"/>
      <c r="BB975" s="88"/>
      <c r="BC975" s="88"/>
      <c r="BD975" s="88"/>
    </row>
    <row r="976" spans="1:56" ht="12.55" x14ac:dyDescent="0.2">
      <c r="A976" s="88"/>
      <c r="B976" s="88"/>
      <c r="C976" s="88"/>
      <c r="D976" s="88"/>
      <c r="E976" s="88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88"/>
      <c r="AL976" s="88"/>
      <c r="AM976" s="88"/>
      <c r="AN976" s="88"/>
      <c r="AO976" s="88"/>
      <c r="AP976" s="88"/>
      <c r="AQ976" s="88"/>
      <c r="AR976" s="88"/>
      <c r="AS976" s="88"/>
      <c r="AT976" s="88"/>
      <c r="AU976" s="88"/>
      <c r="AV976" s="88"/>
      <c r="AW976" s="88"/>
      <c r="AX976" s="88"/>
      <c r="AY976" s="88"/>
      <c r="AZ976" s="88"/>
      <c r="BA976" s="88"/>
      <c r="BB976" s="88"/>
      <c r="BC976" s="88"/>
      <c r="BD976" s="88"/>
    </row>
    <row r="977" spans="1:56" ht="12.55" x14ac:dyDescent="0.2">
      <c r="A977" s="88"/>
      <c r="B977" s="88"/>
      <c r="C977" s="88"/>
      <c r="D977" s="88"/>
      <c r="E977" s="88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88"/>
      <c r="AL977" s="88"/>
      <c r="AM977" s="88"/>
      <c r="AN977" s="88"/>
      <c r="AO977" s="88"/>
      <c r="AP977" s="88"/>
      <c r="AQ977" s="88"/>
      <c r="AR977" s="88"/>
      <c r="AS977" s="88"/>
      <c r="AT977" s="88"/>
      <c r="AU977" s="88"/>
      <c r="AV977" s="88"/>
      <c r="AW977" s="88"/>
      <c r="AX977" s="88"/>
      <c r="AY977" s="88"/>
      <c r="AZ977" s="88"/>
      <c r="BA977" s="88"/>
      <c r="BB977" s="88"/>
      <c r="BC977" s="88"/>
      <c r="BD977" s="88"/>
    </row>
    <row r="978" spans="1:56" ht="12.55" x14ac:dyDescent="0.2">
      <c r="A978" s="88"/>
      <c r="B978" s="88"/>
      <c r="C978" s="88"/>
      <c r="D978" s="88"/>
      <c r="E978" s="88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88"/>
      <c r="AL978" s="88"/>
      <c r="AM978" s="88"/>
      <c r="AN978" s="88"/>
      <c r="AO978" s="88"/>
      <c r="AP978" s="88"/>
      <c r="AQ978" s="88"/>
      <c r="AR978" s="88"/>
      <c r="AS978" s="88"/>
      <c r="AT978" s="88"/>
      <c r="AU978" s="88"/>
      <c r="AV978" s="88"/>
      <c r="AW978" s="88"/>
      <c r="AX978" s="88"/>
      <c r="AY978" s="88"/>
      <c r="AZ978" s="88"/>
      <c r="BA978" s="88"/>
      <c r="BB978" s="88"/>
      <c r="BC978" s="88"/>
      <c r="BD978" s="88"/>
    </row>
    <row r="979" spans="1:56" ht="12.55" x14ac:dyDescent="0.2">
      <c r="A979" s="88"/>
      <c r="B979" s="88"/>
      <c r="C979" s="88"/>
      <c r="D979" s="88"/>
      <c r="E979" s="88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88"/>
      <c r="AL979" s="88"/>
      <c r="AM979" s="88"/>
      <c r="AN979" s="88"/>
      <c r="AO979" s="88"/>
      <c r="AP979" s="88"/>
      <c r="AQ979" s="88"/>
      <c r="AR979" s="88"/>
      <c r="AS979" s="88"/>
      <c r="AT979" s="88"/>
      <c r="AU979" s="88"/>
      <c r="AV979" s="88"/>
      <c r="AW979" s="88"/>
      <c r="AX979" s="88"/>
      <c r="AY979" s="88"/>
      <c r="AZ979" s="88"/>
      <c r="BA979" s="88"/>
      <c r="BB979" s="88"/>
      <c r="BC979" s="88"/>
      <c r="BD979" s="88"/>
    </row>
    <row r="980" spans="1:56" ht="12.55" x14ac:dyDescent="0.2">
      <c r="A980" s="88"/>
      <c r="B980" s="88"/>
      <c r="C980" s="88"/>
      <c r="D980" s="88"/>
      <c r="E980" s="88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88"/>
      <c r="AL980" s="88"/>
      <c r="AM980" s="88"/>
      <c r="AN980" s="88"/>
      <c r="AO980" s="88"/>
      <c r="AP980" s="88"/>
      <c r="AQ980" s="88"/>
      <c r="AR980" s="88"/>
      <c r="AS980" s="88"/>
      <c r="AT980" s="88"/>
      <c r="AU980" s="88"/>
      <c r="AV980" s="88"/>
      <c r="AW980" s="88"/>
      <c r="AX980" s="88"/>
      <c r="AY980" s="88"/>
      <c r="AZ980" s="88"/>
      <c r="BA980" s="88"/>
      <c r="BB980" s="88"/>
      <c r="BC980" s="88"/>
      <c r="BD980" s="88"/>
    </row>
    <row r="981" spans="1:56" ht="12.55" x14ac:dyDescent="0.2">
      <c r="A981" s="88"/>
      <c r="B981" s="88"/>
      <c r="C981" s="88"/>
      <c r="D981" s="88"/>
      <c r="E981" s="88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88"/>
      <c r="AL981" s="88"/>
      <c r="AM981" s="88"/>
      <c r="AN981" s="88"/>
      <c r="AO981" s="88"/>
      <c r="AP981" s="88"/>
      <c r="AQ981" s="88"/>
      <c r="AR981" s="88"/>
      <c r="AS981" s="88"/>
      <c r="AT981" s="88"/>
      <c r="AU981" s="88"/>
      <c r="AV981" s="88"/>
      <c r="AW981" s="88"/>
      <c r="AX981" s="88"/>
      <c r="AY981" s="88"/>
      <c r="AZ981" s="88"/>
      <c r="BA981" s="88"/>
      <c r="BB981" s="88"/>
      <c r="BC981" s="88"/>
      <c r="BD981" s="88"/>
    </row>
    <row r="982" spans="1:56" ht="12.55" x14ac:dyDescent="0.2">
      <c r="A982" s="88"/>
      <c r="B982" s="88"/>
      <c r="C982" s="88"/>
      <c r="D982" s="88"/>
      <c r="E982" s="88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  <c r="AD982" s="101"/>
      <c r="AE982" s="101"/>
      <c r="AF982" s="101"/>
      <c r="AG982" s="101"/>
      <c r="AH982" s="101"/>
      <c r="AI982" s="101"/>
      <c r="AJ982" s="101"/>
      <c r="AK982" s="88"/>
      <c r="AL982" s="88"/>
      <c r="AM982" s="88"/>
      <c r="AN982" s="88"/>
      <c r="AO982" s="88"/>
      <c r="AP982" s="88"/>
      <c r="AQ982" s="88"/>
      <c r="AR982" s="88"/>
      <c r="AS982" s="88"/>
      <c r="AT982" s="88"/>
      <c r="AU982" s="88"/>
      <c r="AV982" s="88"/>
      <c r="AW982" s="88"/>
      <c r="AX982" s="88"/>
      <c r="AY982" s="88"/>
      <c r="AZ982" s="88"/>
      <c r="BA982" s="88"/>
      <c r="BB982" s="88"/>
      <c r="BC982" s="88"/>
      <c r="BD982" s="88"/>
    </row>
    <row r="983" spans="1:56" ht="12.55" x14ac:dyDescent="0.2">
      <c r="A983" s="88"/>
      <c r="B983" s="88"/>
      <c r="C983" s="88"/>
      <c r="D983" s="88"/>
      <c r="E983" s="88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  <c r="AD983" s="101"/>
      <c r="AE983" s="101"/>
      <c r="AF983" s="101"/>
      <c r="AG983" s="101"/>
      <c r="AH983" s="101"/>
      <c r="AI983" s="101"/>
      <c r="AJ983" s="101"/>
      <c r="AK983" s="88"/>
      <c r="AL983" s="88"/>
      <c r="AM983" s="88"/>
      <c r="AN983" s="88"/>
      <c r="AO983" s="88"/>
      <c r="AP983" s="88"/>
      <c r="AQ983" s="88"/>
      <c r="AR983" s="88"/>
      <c r="AS983" s="88"/>
      <c r="AT983" s="88"/>
      <c r="AU983" s="88"/>
      <c r="AV983" s="88"/>
      <c r="AW983" s="88"/>
      <c r="AX983" s="88"/>
      <c r="AY983" s="88"/>
      <c r="AZ983" s="88"/>
      <c r="BA983" s="88"/>
      <c r="BB983" s="88"/>
      <c r="BC983" s="88"/>
      <c r="BD983" s="88"/>
    </row>
    <row r="984" spans="1:56" ht="12.55" x14ac:dyDescent="0.2">
      <c r="A984" s="88"/>
      <c r="B984" s="88"/>
      <c r="C984" s="88"/>
      <c r="D984" s="88"/>
      <c r="E984" s="88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  <c r="AD984" s="101"/>
      <c r="AE984" s="101"/>
      <c r="AF984" s="101"/>
      <c r="AG984" s="101"/>
      <c r="AH984" s="101"/>
      <c r="AI984" s="101"/>
      <c r="AJ984" s="101"/>
      <c r="AK984" s="88"/>
      <c r="AL984" s="88"/>
      <c r="AM984" s="88"/>
      <c r="AN984" s="88"/>
      <c r="AO984" s="88"/>
      <c r="AP984" s="88"/>
      <c r="AQ984" s="88"/>
      <c r="AR984" s="88"/>
      <c r="AS984" s="88"/>
      <c r="AT984" s="88"/>
      <c r="AU984" s="88"/>
      <c r="AV984" s="88"/>
      <c r="AW984" s="88"/>
      <c r="AX984" s="88"/>
      <c r="AY984" s="88"/>
      <c r="AZ984" s="88"/>
      <c r="BA984" s="88"/>
      <c r="BB984" s="88"/>
      <c r="BC984" s="88"/>
      <c r="BD984" s="88"/>
    </row>
    <row r="985" spans="1:56" ht="12.55" x14ac:dyDescent="0.2">
      <c r="A985" s="88"/>
      <c r="B985" s="88"/>
      <c r="C985" s="88"/>
      <c r="D985" s="88"/>
      <c r="E985" s="88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  <c r="AD985" s="101"/>
      <c r="AE985" s="101"/>
      <c r="AF985" s="101"/>
      <c r="AG985" s="101"/>
      <c r="AH985" s="101"/>
      <c r="AI985" s="101"/>
      <c r="AJ985" s="101"/>
      <c r="AK985" s="88"/>
      <c r="AL985" s="88"/>
      <c r="AM985" s="88"/>
      <c r="AN985" s="88"/>
      <c r="AO985" s="88"/>
      <c r="AP985" s="88"/>
      <c r="AQ985" s="88"/>
      <c r="AR985" s="88"/>
      <c r="AS985" s="88"/>
      <c r="AT985" s="88"/>
      <c r="AU985" s="88"/>
      <c r="AV985" s="88"/>
      <c r="AW985" s="88"/>
      <c r="AX985" s="88"/>
      <c r="AY985" s="88"/>
      <c r="AZ985" s="88"/>
      <c r="BA985" s="88"/>
      <c r="BB985" s="88"/>
      <c r="BC985" s="88"/>
      <c r="BD985" s="88"/>
    </row>
    <row r="986" spans="1:56" ht="12.55" x14ac:dyDescent="0.2">
      <c r="A986" s="88"/>
      <c r="B986" s="88"/>
      <c r="C986" s="88"/>
      <c r="D986" s="88"/>
      <c r="E986" s="88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  <c r="AD986" s="101"/>
      <c r="AE986" s="101"/>
      <c r="AF986" s="101"/>
      <c r="AG986" s="101"/>
      <c r="AH986" s="101"/>
      <c r="AI986" s="101"/>
      <c r="AJ986" s="101"/>
      <c r="AK986" s="88"/>
      <c r="AL986" s="88"/>
      <c r="AM986" s="88"/>
      <c r="AN986" s="88"/>
      <c r="AO986" s="88"/>
      <c r="AP986" s="88"/>
      <c r="AQ986" s="88"/>
      <c r="AR986" s="88"/>
      <c r="AS986" s="88"/>
      <c r="AT986" s="88"/>
      <c r="AU986" s="88"/>
      <c r="AV986" s="88"/>
      <c r="AW986" s="88"/>
      <c r="AX986" s="88"/>
      <c r="AY986" s="88"/>
      <c r="AZ986" s="88"/>
      <c r="BA986" s="88"/>
      <c r="BB986" s="88"/>
      <c r="BC986" s="88"/>
      <c r="BD986" s="88"/>
    </row>
    <row r="987" spans="1:56" ht="12.55" x14ac:dyDescent="0.2">
      <c r="A987" s="88"/>
      <c r="B987" s="88"/>
      <c r="C987" s="88"/>
      <c r="D987" s="88"/>
      <c r="E987" s="88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  <c r="AD987" s="101"/>
      <c r="AE987" s="101"/>
      <c r="AF987" s="101"/>
      <c r="AG987" s="101"/>
      <c r="AH987" s="101"/>
      <c r="AI987" s="101"/>
      <c r="AJ987" s="101"/>
      <c r="AK987" s="88"/>
      <c r="AL987" s="88"/>
      <c r="AM987" s="88"/>
      <c r="AN987" s="88"/>
      <c r="AO987" s="88"/>
      <c r="AP987" s="88"/>
      <c r="AQ987" s="88"/>
      <c r="AR987" s="88"/>
      <c r="AS987" s="88"/>
      <c r="AT987" s="88"/>
      <c r="AU987" s="88"/>
      <c r="AV987" s="88"/>
      <c r="AW987" s="88"/>
      <c r="AX987" s="88"/>
      <c r="AY987" s="88"/>
      <c r="AZ987" s="88"/>
      <c r="BA987" s="88"/>
      <c r="BB987" s="88"/>
      <c r="BC987" s="88"/>
      <c r="BD987" s="88"/>
    </row>
    <row r="988" spans="1:56" ht="12.55" x14ac:dyDescent="0.2">
      <c r="A988" s="88"/>
      <c r="B988" s="88"/>
      <c r="C988" s="88"/>
      <c r="D988" s="88"/>
      <c r="E988" s="88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  <c r="AD988" s="101"/>
      <c r="AE988" s="101"/>
      <c r="AF988" s="101"/>
      <c r="AG988" s="101"/>
      <c r="AH988" s="101"/>
      <c r="AI988" s="101"/>
      <c r="AJ988" s="101"/>
      <c r="AK988" s="88"/>
      <c r="AL988" s="88"/>
      <c r="AM988" s="88"/>
      <c r="AN988" s="88"/>
      <c r="AO988" s="88"/>
      <c r="AP988" s="88"/>
      <c r="AQ988" s="88"/>
      <c r="AR988" s="88"/>
      <c r="AS988" s="88"/>
      <c r="AT988" s="88"/>
      <c r="AU988" s="88"/>
      <c r="AV988" s="88"/>
      <c r="AW988" s="88"/>
      <c r="AX988" s="88"/>
      <c r="AY988" s="88"/>
      <c r="AZ988" s="88"/>
      <c r="BA988" s="88"/>
      <c r="BB988" s="88"/>
      <c r="BC988" s="88"/>
      <c r="BD988" s="88"/>
    </row>
    <row r="989" spans="1:56" ht="12.55" x14ac:dyDescent="0.2">
      <c r="A989" s="88"/>
      <c r="B989" s="88"/>
      <c r="C989" s="88"/>
      <c r="D989" s="88"/>
      <c r="E989" s="88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  <c r="AD989" s="101"/>
      <c r="AE989" s="101"/>
      <c r="AF989" s="101"/>
      <c r="AG989" s="101"/>
      <c r="AH989" s="101"/>
      <c r="AI989" s="101"/>
      <c r="AJ989" s="101"/>
      <c r="AK989" s="88"/>
      <c r="AL989" s="88"/>
      <c r="AM989" s="88"/>
      <c r="AN989" s="88"/>
      <c r="AO989" s="88"/>
      <c r="AP989" s="88"/>
      <c r="AQ989" s="88"/>
      <c r="AR989" s="88"/>
      <c r="AS989" s="88"/>
      <c r="AT989" s="88"/>
      <c r="AU989" s="88"/>
      <c r="AV989" s="88"/>
      <c r="AW989" s="88"/>
      <c r="AX989" s="88"/>
      <c r="AY989" s="88"/>
      <c r="AZ989" s="88"/>
      <c r="BA989" s="88"/>
      <c r="BB989" s="88"/>
      <c r="BC989" s="88"/>
      <c r="BD989" s="88"/>
    </row>
    <row r="990" spans="1:56" ht="12.55" x14ac:dyDescent="0.2">
      <c r="A990" s="88"/>
      <c r="B990" s="88"/>
      <c r="C990" s="88"/>
      <c r="D990" s="88"/>
      <c r="E990" s="88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  <c r="AD990" s="101"/>
      <c r="AE990" s="101"/>
      <c r="AF990" s="101"/>
      <c r="AG990" s="101"/>
      <c r="AH990" s="101"/>
      <c r="AI990" s="101"/>
      <c r="AJ990" s="101"/>
      <c r="AK990" s="88"/>
      <c r="AL990" s="88"/>
      <c r="AM990" s="88"/>
      <c r="AN990" s="88"/>
      <c r="AO990" s="88"/>
      <c r="AP990" s="88"/>
      <c r="AQ990" s="88"/>
      <c r="AR990" s="88"/>
      <c r="AS990" s="88"/>
      <c r="AT990" s="88"/>
      <c r="AU990" s="88"/>
      <c r="AV990" s="88"/>
      <c r="AW990" s="88"/>
      <c r="AX990" s="88"/>
      <c r="AY990" s="88"/>
      <c r="AZ990" s="88"/>
      <c r="BA990" s="88"/>
      <c r="BB990" s="88"/>
      <c r="BC990" s="88"/>
      <c r="BD990" s="88"/>
    </row>
    <row r="991" spans="1:56" ht="12.55" x14ac:dyDescent="0.2">
      <c r="A991" s="88"/>
      <c r="B991" s="88"/>
      <c r="C991" s="88"/>
      <c r="D991" s="88"/>
      <c r="E991" s="88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  <c r="AD991" s="101"/>
      <c r="AE991" s="101"/>
      <c r="AF991" s="101"/>
      <c r="AG991" s="101"/>
      <c r="AH991" s="101"/>
      <c r="AI991" s="101"/>
      <c r="AJ991" s="101"/>
      <c r="AK991" s="88"/>
      <c r="AL991" s="88"/>
      <c r="AM991" s="88"/>
      <c r="AN991" s="88"/>
      <c r="AO991" s="88"/>
      <c r="AP991" s="88"/>
      <c r="AQ991" s="88"/>
      <c r="AR991" s="88"/>
      <c r="AS991" s="88"/>
      <c r="AT991" s="88"/>
      <c r="AU991" s="88"/>
      <c r="AV991" s="88"/>
      <c r="AW991" s="88"/>
      <c r="AX991" s="88"/>
      <c r="AY991" s="88"/>
      <c r="AZ991" s="88"/>
      <c r="BA991" s="88"/>
      <c r="BB991" s="88"/>
      <c r="BC991" s="88"/>
      <c r="BD991" s="88"/>
    </row>
    <row r="992" spans="1:56" ht="12.55" x14ac:dyDescent="0.2">
      <c r="A992" s="88"/>
      <c r="B992" s="88"/>
      <c r="C992" s="88"/>
      <c r="D992" s="88"/>
      <c r="E992" s="88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88"/>
      <c r="AL992" s="88"/>
      <c r="AM992" s="88"/>
      <c r="AN992" s="88"/>
      <c r="AO992" s="88"/>
      <c r="AP992" s="88"/>
      <c r="AQ992" s="88"/>
      <c r="AR992" s="88"/>
      <c r="AS992" s="88"/>
      <c r="AT992" s="88"/>
      <c r="AU992" s="88"/>
      <c r="AV992" s="88"/>
      <c r="AW992" s="88"/>
      <c r="AX992" s="88"/>
      <c r="AY992" s="88"/>
      <c r="AZ992" s="88"/>
      <c r="BA992" s="88"/>
      <c r="BB992" s="88"/>
      <c r="BC992" s="88"/>
      <c r="BD992" s="88"/>
    </row>
    <row r="993" spans="1:56" ht="12.55" x14ac:dyDescent="0.2">
      <c r="A993" s="88"/>
      <c r="B993" s="88"/>
      <c r="C993" s="88"/>
      <c r="D993" s="88"/>
      <c r="E993" s="88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  <c r="AB993" s="101"/>
      <c r="AC993" s="101"/>
      <c r="AD993" s="101"/>
      <c r="AE993" s="101"/>
      <c r="AF993" s="101"/>
      <c r="AG993" s="101"/>
      <c r="AH993" s="101"/>
      <c r="AI993" s="101"/>
      <c r="AJ993" s="101"/>
      <c r="AK993" s="88"/>
      <c r="AL993" s="88"/>
      <c r="AM993" s="88"/>
      <c r="AN993" s="88"/>
      <c r="AO993" s="88"/>
      <c r="AP993" s="88"/>
      <c r="AQ993" s="88"/>
      <c r="AR993" s="88"/>
      <c r="AS993" s="88"/>
      <c r="AT993" s="88"/>
      <c r="AU993" s="88"/>
      <c r="AV993" s="88"/>
      <c r="AW993" s="88"/>
      <c r="AX993" s="88"/>
      <c r="AY993" s="88"/>
      <c r="AZ993" s="88"/>
      <c r="BA993" s="88"/>
      <c r="BB993" s="88"/>
      <c r="BC993" s="88"/>
      <c r="BD993" s="88"/>
    </row>
    <row r="994" spans="1:56" ht="12.55" x14ac:dyDescent="0.2">
      <c r="A994" s="88"/>
      <c r="B994" s="88"/>
      <c r="C994" s="88"/>
      <c r="D994" s="88"/>
      <c r="E994" s="88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  <c r="AB994" s="101"/>
      <c r="AC994" s="101"/>
      <c r="AD994" s="101"/>
      <c r="AE994" s="101"/>
      <c r="AF994" s="101"/>
      <c r="AG994" s="101"/>
      <c r="AH994" s="101"/>
      <c r="AI994" s="101"/>
      <c r="AJ994" s="101"/>
      <c r="AK994" s="88"/>
      <c r="AL994" s="88"/>
      <c r="AM994" s="88"/>
      <c r="AN994" s="88"/>
      <c r="AO994" s="88"/>
      <c r="AP994" s="88"/>
      <c r="AQ994" s="88"/>
      <c r="AR994" s="88"/>
      <c r="AS994" s="88"/>
      <c r="AT994" s="88"/>
      <c r="AU994" s="88"/>
      <c r="AV994" s="88"/>
      <c r="AW994" s="88"/>
      <c r="AX994" s="88"/>
      <c r="AY994" s="88"/>
      <c r="AZ994" s="88"/>
      <c r="BA994" s="88"/>
      <c r="BB994" s="88"/>
      <c r="BC994" s="88"/>
      <c r="BD994" s="88"/>
    </row>
    <row r="995" spans="1:56" ht="12.55" x14ac:dyDescent="0.2">
      <c r="A995" s="88"/>
      <c r="B995" s="88"/>
      <c r="C995" s="88"/>
      <c r="D995" s="88"/>
      <c r="E995" s="88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  <c r="AB995" s="101"/>
      <c r="AC995" s="101"/>
      <c r="AD995" s="101"/>
      <c r="AE995" s="101"/>
      <c r="AF995" s="101"/>
      <c r="AG995" s="101"/>
      <c r="AH995" s="101"/>
      <c r="AI995" s="101"/>
      <c r="AJ995" s="101"/>
      <c r="AK995" s="88"/>
      <c r="AL995" s="88"/>
      <c r="AM995" s="88"/>
      <c r="AN995" s="88"/>
      <c r="AO995" s="88"/>
      <c r="AP995" s="88"/>
      <c r="AQ995" s="88"/>
      <c r="AR995" s="88"/>
      <c r="AS995" s="88"/>
      <c r="AT995" s="88"/>
      <c r="AU995" s="88"/>
      <c r="AV995" s="88"/>
      <c r="AW995" s="88"/>
      <c r="AX995" s="88"/>
      <c r="AY995" s="88"/>
      <c r="AZ995" s="88"/>
      <c r="BA995" s="88"/>
      <c r="BB995" s="88"/>
      <c r="BC995" s="88"/>
      <c r="BD995" s="88"/>
    </row>
    <row r="996" spans="1:56" ht="12.55" x14ac:dyDescent="0.2">
      <c r="A996" s="88"/>
      <c r="B996" s="88"/>
      <c r="C996" s="88"/>
      <c r="D996" s="88"/>
      <c r="E996" s="88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  <c r="AB996" s="101"/>
      <c r="AC996" s="101"/>
      <c r="AD996" s="101"/>
      <c r="AE996" s="101"/>
      <c r="AF996" s="101"/>
      <c r="AG996" s="101"/>
      <c r="AH996" s="101"/>
      <c r="AI996" s="101"/>
      <c r="AJ996" s="101"/>
      <c r="AK996" s="88"/>
      <c r="AL996" s="88"/>
      <c r="AM996" s="88"/>
      <c r="AN996" s="88"/>
      <c r="AO996" s="88"/>
      <c r="AP996" s="88"/>
      <c r="AQ996" s="88"/>
      <c r="AR996" s="88"/>
      <c r="AS996" s="88"/>
      <c r="AT996" s="88"/>
      <c r="AU996" s="88"/>
      <c r="AV996" s="88"/>
      <c r="AW996" s="88"/>
      <c r="AX996" s="88"/>
      <c r="AY996" s="88"/>
      <c r="AZ996" s="88"/>
      <c r="BA996" s="88"/>
      <c r="BB996" s="88"/>
      <c r="BC996" s="88"/>
      <c r="BD996" s="88"/>
    </row>
    <row r="997" spans="1:56" ht="12.55" x14ac:dyDescent="0.2">
      <c r="A997" s="88"/>
      <c r="B997" s="88"/>
      <c r="C997" s="88"/>
      <c r="D997" s="88"/>
      <c r="E997" s="88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  <c r="AB997" s="101"/>
      <c r="AC997" s="101"/>
      <c r="AD997" s="101"/>
      <c r="AE997" s="101"/>
      <c r="AF997" s="101"/>
      <c r="AG997" s="101"/>
      <c r="AH997" s="101"/>
      <c r="AI997" s="101"/>
      <c r="AJ997" s="101"/>
      <c r="AK997" s="88"/>
      <c r="AL997" s="88"/>
      <c r="AM997" s="88"/>
      <c r="AN997" s="88"/>
      <c r="AO997" s="88"/>
      <c r="AP997" s="88"/>
      <c r="AQ997" s="88"/>
      <c r="AR997" s="88"/>
      <c r="AS997" s="88"/>
      <c r="AT997" s="88"/>
      <c r="AU997" s="88"/>
      <c r="AV997" s="88"/>
      <c r="AW997" s="88"/>
      <c r="AX997" s="88"/>
      <c r="AY997" s="88"/>
      <c r="AZ997" s="88"/>
      <c r="BA997" s="88"/>
      <c r="BB997" s="88"/>
      <c r="BC997" s="88"/>
      <c r="BD997" s="88"/>
    </row>
    <row r="998" spans="1:56" ht="12.55" x14ac:dyDescent="0.2">
      <c r="A998" s="88"/>
      <c r="B998" s="88"/>
      <c r="C998" s="88"/>
      <c r="D998" s="88"/>
      <c r="E998" s="88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  <c r="AB998" s="101"/>
      <c r="AC998" s="101"/>
      <c r="AD998" s="101"/>
      <c r="AE998" s="101"/>
      <c r="AF998" s="101"/>
      <c r="AG998" s="101"/>
      <c r="AH998" s="101"/>
      <c r="AI998" s="101"/>
      <c r="AJ998" s="101"/>
      <c r="AK998" s="88"/>
      <c r="AL998" s="88"/>
      <c r="AM998" s="88"/>
      <c r="AN998" s="88"/>
      <c r="AO998" s="88"/>
      <c r="AP998" s="88"/>
      <c r="AQ998" s="88"/>
      <c r="AR998" s="88"/>
      <c r="AS998" s="88"/>
      <c r="AT998" s="88"/>
      <c r="AU998" s="88"/>
      <c r="AV998" s="88"/>
      <c r="AW998" s="88"/>
      <c r="AX998" s="88"/>
      <c r="AY998" s="88"/>
      <c r="AZ998" s="88"/>
      <c r="BA998" s="88"/>
      <c r="BB998" s="88"/>
      <c r="BC998" s="88"/>
      <c r="BD998" s="88"/>
    </row>
    <row r="999" spans="1:56" ht="12.55" x14ac:dyDescent="0.2">
      <c r="A999" s="88"/>
      <c r="B999" s="88"/>
      <c r="C999" s="88"/>
      <c r="D999" s="88"/>
      <c r="E999" s="88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  <c r="AA999" s="101"/>
      <c r="AB999" s="101"/>
      <c r="AC999" s="101"/>
      <c r="AD999" s="101"/>
      <c r="AE999" s="101"/>
      <c r="AF999" s="101"/>
      <c r="AG999" s="101"/>
      <c r="AH999" s="101"/>
      <c r="AI999" s="101"/>
      <c r="AJ999" s="101"/>
      <c r="AK999" s="88"/>
      <c r="AL999" s="88"/>
      <c r="AM999" s="88"/>
      <c r="AN999" s="88"/>
      <c r="AO999" s="88"/>
      <c r="AP999" s="88"/>
      <c r="AQ999" s="88"/>
      <c r="AR999" s="88"/>
      <c r="AS999" s="88"/>
      <c r="AT999" s="88"/>
      <c r="AU999" s="88"/>
      <c r="AV999" s="88"/>
      <c r="AW999" s="88"/>
      <c r="AX999" s="88"/>
      <c r="AY999" s="88"/>
      <c r="AZ999" s="88"/>
      <c r="BA999" s="88"/>
      <c r="BB999" s="88"/>
      <c r="BC999" s="88"/>
      <c r="BD999" s="88"/>
    </row>
    <row r="1000" spans="1:56" ht="12.55" x14ac:dyDescent="0.2">
      <c r="A1000" s="88"/>
      <c r="B1000" s="88"/>
      <c r="C1000" s="88"/>
      <c r="D1000" s="88"/>
      <c r="E1000" s="88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  <c r="AA1000" s="101"/>
      <c r="AB1000" s="101"/>
      <c r="AC1000" s="101"/>
      <c r="AD1000" s="101"/>
      <c r="AE1000" s="101"/>
      <c r="AF1000" s="101"/>
      <c r="AG1000" s="101"/>
      <c r="AH1000" s="101"/>
      <c r="AI1000" s="101"/>
      <c r="AJ1000" s="101"/>
      <c r="AK1000" s="88"/>
      <c r="AL1000" s="88"/>
      <c r="AM1000" s="88"/>
      <c r="AN1000" s="88"/>
      <c r="AO1000" s="88"/>
      <c r="AP1000" s="88"/>
      <c r="AQ1000" s="88"/>
      <c r="AR1000" s="88"/>
      <c r="AS1000" s="88"/>
      <c r="AT1000" s="88"/>
      <c r="AU1000" s="88"/>
      <c r="AV1000" s="88"/>
      <c r="AW1000" s="88"/>
      <c r="AX1000" s="88"/>
      <c r="AY1000" s="88"/>
      <c r="AZ1000" s="88"/>
      <c r="BA1000" s="88"/>
      <c r="BB1000" s="88"/>
      <c r="BC1000" s="88"/>
      <c r="BD1000" s="88"/>
    </row>
    <row r="1001" spans="1:56" ht="12.55" x14ac:dyDescent="0.2">
      <c r="A1001" s="88"/>
      <c r="B1001" s="88"/>
      <c r="C1001" s="88"/>
      <c r="D1001" s="88"/>
      <c r="E1001" s="88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01"/>
      <c r="Z1001" s="101"/>
      <c r="AA1001" s="101"/>
      <c r="AB1001" s="101"/>
      <c r="AC1001" s="101"/>
      <c r="AD1001" s="101"/>
      <c r="AE1001" s="101"/>
      <c r="AF1001" s="101"/>
      <c r="AG1001" s="101"/>
      <c r="AH1001" s="101"/>
      <c r="AI1001" s="101"/>
      <c r="AJ1001" s="101"/>
      <c r="AK1001" s="88"/>
      <c r="AL1001" s="88"/>
      <c r="AM1001" s="88"/>
      <c r="AN1001" s="88"/>
      <c r="AO1001" s="88"/>
      <c r="AP1001" s="88"/>
      <c r="AQ1001" s="88"/>
      <c r="AR1001" s="88"/>
      <c r="AS1001" s="88"/>
      <c r="AT1001" s="88"/>
      <c r="AU1001" s="88"/>
      <c r="AV1001" s="88"/>
      <c r="AW1001" s="88"/>
      <c r="AX1001" s="88"/>
      <c r="AY1001" s="88"/>
      <c r="AZ1001" s="88"/>
      <c r="BA1001" s="88"/>
      <c r="BB1001" s="88"/>
      <c r="BC1001" s="88"/>
      <c r="BD1001" s="88"/>
    </row>
    <row r="1002" spans="1:56" ht="12.55" x14ac:dyDescent="0.2">
      <c r="A1002" s="88"/>
      <c r="B1002" s="88"/>
      <c r="C1002" s="88"/>
      <c r="D1002" s="88"/>
      <c r="E1002" s="88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  <c r="Y1002" s="101"/>
      <c r="Z1002" s="101"/>
      <c r="AA1002" s="101"/>
      <c r="AB1002" s="101"/>
      <c r="AC1002" s="101"/>
      <c r="AD1002" s="101"/>
      <c r="AE1002" s="101"/>
      <c r="AF1002" s="101"/>
      <c r="AG1002" s="101"/>
      <c r="AH1002" s="101"/>
      <c r="AI1002" s="101"/>
      <c r="AJ1002" s="101"/>
      <c r="AK1002" s="88"/>
      <c r="AL1002" s="88"/>
      <c r="AM1002" s="88"/>
      <c r="AN1002" s="88"/>
      <c r="AO1002" s="88"/>
      <c r="AP1002" s="88"/>
      <c r="AQ1002" s="88"/>
      <c r="AR1002" s="88"/>
      <c r="AS1002" s="88"/>
      <c r="AT1002" s="88"/>
      <c r="AU1002" s="88"/>
      <c r="AV1002" s="88"/>
      <c r="AW1002" s="88"/>
      <c r="AX1002" s="88"/>
      <c r="AY1002" s="88"/>
      <c r="AZ1002" s="88"/>
      <c r="BA1002" s="88"/>
      <c r="BB1002" s="88"/>
      <c r="BC1002" s="88"/>
      <c r="BD1002" s="88"/>
    </row>
    <row r="1003" spans="1:56" ht="12.55" x14ac:dyDescent="0.2">
      <c r="A1003" s="88"/>
      <c r="B1003" s="88"/>
      <c r="C1003" s="88"/>
      <c r="D1003" s="88"/>
      <c r="E1003" s="88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  <c r="Y1003" s="101"/>
      <c r="Z1003" s="101"/>
      <c r="AA1003" s="101"/>
      <c r="AB1003" s="101"/>
      <c r="AC1003" s="101"/>
      <c r="AD1003" s="101"/>
      <c r="AE1003" s="101"/>
      <c r="AF1003" s="101"/>
      <c r="AG1003" s="101"/>
      <c r="AH1003" s="101"/>
      <c r="AI1003" s="101"/>
      <c r="AJ1003" s="101"/>
      <c r="AK1003" s="88"/>
      <c r="AL1003" s="88"/>
      <c r="AM1003" s="88"/>
      <c r="AN1003" s="88"/>
      <c r="AO1003" s="88"/>
      <c r="AP1003" s="88"/>
      <c r="AQ1003" s="88"/>
      <c r="AR1003" s="88"/>
      <c r="AS1003" s="88"/>
      <c r="AT1003" s="88"/>
      <c r="AU1003" s="88"/>
      <c r="AV1003" s="88"/>
      <c r="AW1003" s="88"/>
      <c r="AX1003" s="88"/>
      <c r="AY1003" s="88"/>
      <c r="AZ1003" s="88"/>
      <c r="BA1003" s="88"/>
      <c r="BB1003" s="88"/>
      <c r="BC1003" s="88"/>
      <c r="BD1003" s="88"/>
    </row>
    <row r="1004" spans="1:56" ht="12.55" x14ac:dyDescent="0.2">
      <c r="A1004" s="88"/>
      <c r="B1004" s="88"/>
      <c r="C1004" s="88"/>
      <c r="D1004" s="88"/>
      <c r="E1004" s="88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  <c r="Y1004" s="101"/>
      <c r="Z1004" s="101"/>
      <c r="AA1004" s="101"/>
      <c r="AB1004" s="101"/>
      <c r="AC1004" s="101"/>
      <c r="AD1004" s="101"/>
      <c r="AE1004" s="101"/>
      <c r="AF1004" s="101"/>
      <c r="AG1004" s="101"/>
      <c r="AH1004" s="101"/>
      <c r="AI1004" s="101"/>
      <c r="AJ1004" s="101"/>
      <c r="AK1004" s="88"/>
      <c r="AL1004" s="88"/>
      <c r="AM1004" s="88"/>
      <c r="AN1004" s="88"/>
      <c r="AO1004" s="88"/>
      <c r="AP1004" s="88"/>
      <c r="AQ1004" s="88"/>
      <c r="AR1004" s="88"/>
      <c r="AS1004" s="88"/>
      <c r="AT1004" s="88"/>
      <c r="AU1004" s="88"/>
      <c r="AV1004" s="88"/>
      <c r="AW1004" s="88"/>
      <c r="AX1004" s="88"/>
      <c r="AY1004" s="88"/>
      <c r="AZ1004" s="88"/>
      <c r="BA1004" s="88"/>
      <c r="BB1004" s="88"/>
      <c r="BC1004" s="88"/>
      <c r="BD1004" s="88"/>
    </row>
    <row r="1005" spans="1:56" ht="12.55" x14ac:dyDescent="0.2">
      <c r="A1005" s="88"/>
      <c r="B1005" s="88"/>
      <c r="C1005" s="88"/>
      <c r="D1005" s="88"/>
      <c r="E1005" s="88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  <c r="Y1005" s="101"/>
      <c r="Z1005" s="101"/>
      <c r="AA1005" s="101"/>
      <c r="AB1005" s="101"/>
      <c r="AC1005" s="101"/>
      <c r="AD1005" s="101"/>
      <c r="AE1005" s="101"/>
      <c r="AF1005" s="101"/>
      <c r="AG1005" s="101"/>
      <c r="AH1005" s="101"/>
      <c r="AI1005" s="101"/>
      <c r="AJ1005" s="101"/>
      <c r="AK1005" s="88"/>
      <c r="AL1005" s="88"/>
      <c r="AM1005" s="88"/>
      <c r="AN1005" s="88"/>
      <c r="AO1005" s="88"/>
      <c r="AP1005" s="88"/>
      <c r="AQ1005" s="88"/>
      <c r="AR1005" s="88"/>
      <c r="AS1005" s="88"/>
      <c r="AT1005" s="88"/>
      <c r="AU1005" s="88"/>
      <c r="AV1005" s="88"/>
      <c r="AW1005" s="88"/>
      <c r="AX1005" s="88"/>
      <c r="AY1005" s="88"/>
      <c r="AZ1005" s="88"/>
      <c r="BA1005" s="88"/>
      <c r="BB1005" s="88"/>
      <c r="BC1005" s="88"/>
      <c r="BD1005" s="88"/>
    </row>
    <row r="1006" spans="1:56" ht="12.55" x14ac:dyDescent="0.2">
      <c r="A1006" s="88"/>
      <c r="B1006" s="88"/>
      <c r="C1006" s="88"/>
      <c r="D1006" s="88"/>
      <c r="E1006" s="88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  <c r="Y1006" s="101"/>
      <c r="Z1006" s="101"/>
      <c r="AA1006" s="101"/>
      <c r="AB1006" s="101"/>
      <c r="AC1006" s="101"/>
      <c r="AD1006" s="101"/>
      <c r="AE1006" s="101"/>
      <c r="AF1006" s="101"/>
      <c r="AG1006" s="101"/>
      <c r="AH1006" s="101"/>
      <c r="AI1006" s="101"/>
      <c r="AJ1006" s="101"/>
      <c r="AK1006" s="88"/>
      <c r="AL1006" s="88"/>
      <c r="AM1006" s="88"/>
      <c r="AN1006" s="88"/>
      <c r="AO1006" s="88"/>
      <c r="AP1006" s="88"/>
      <c r="AQ1006" s="88"/>
      <c r="AR1006" s="88"/>
      <c r="AS1006" s="88"/>
      <c r="AT1006" s="88"/>
      <c r="AU1006" s="88"/>
      <c r="AV1006" s="88"/>
      <c r="AW1006" s="88"/>
      <c r="AX1006" s="88"/>
      <c r="AY1006" s="88"/>
      <c r="AZ1006" s="88"/>
      <c r="BA1006" s="88"/>
      <c r="BB1006" s="88"/>
      <c r="BC1006" s="88"/>
      <c r="BD1006" s="88"/>
    </row>
    <row r="1007" spans="1:56" ht="12.55" x14ac:dyDescent="0.2">
      <c r="A1007" s="88"/>
      <c r="B1007" s="88"/>
      <c r="C1007" s="88"/>
      <c r="D1007" s="88"/>
      <c r="E1007" s="88"/>
      <c r="F1007" s="101"/>
      <c r="G1007" s="10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  <c r="X1007" s="101"/>
      <c r="Y1007" s="101"/>
      <c r="Z1007" s="101"/>
      <c r="AA1007" s="101"/>
      <c r="AB1007" s="101"/>
      <c r="AC1007" s="101"/>
      <c r="AD1007" s="101"/>
      <c r="AE1007" s="101"/>
      <c r="AF1007" s="101"/>
      <c r="AG1007" s="101"/>
      <c r="AH1007" s="101"/>
      <c r="AI1007" s="101"/>
      <c r="AJ1007" s="101"/>
      <c r="AK1007" s="88"/>
      <c r="AL1007" s="88"/>
      <c r="AM1007" s="88"/>
      <c r="AN1007" s="88"/>
      <c r="AO1007" s="88"/>
      <c r="AP1007" s="88"/>
      <c r="AQ1007" s="88"/>
      <c r="AR1007" s="88"/>
      <c r="AS1007" s="88"/>
      <c r="AT1007" s="88"/>
      <c r="AU1007" s="88"/>
      <c r="AV1007" s="88"/>
      <c r="AW1007" s="88"/>
      <c r="AX1007" s="88"/>
      <c r="AY1007" s="88"/>
      <c r="AZ1007" s="88"/>
      <c r="BA1007" s="88"/>
      <c r="BB1007" s="88"/>
      <c r="BC1007" s="88"/>
      <c r="BD1007" s="88"/>
    </row>
    <row r="1008" spans="1:56" ht="12.55" x14ac:dyDescent="0.2">
      <c r="A1008" s="88"/>
      <c r="B1008" s="88"/>
      <c r="C1008" s="88"/>
      <c r="D1008" s="88"/>
      <c r="E1008" s="88"/>
      <c r="F1008" s="101"/>
      <c r="G1008" s="10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  <c r="X1008" s="101"/>
      <c r="Y1008" s="101"/>
      <c r="Z1008" s="101"/>
      <c r="AA1008" s="101"/>
      <c r="AB1008" s="101"/>
      <c r="AC1008" s="101"/>
      <c r="AD1008" s="101"/>
      <c r="AE1008" s="101"/>
      <c r="AF1008" s="101"/>
      <c r="AG1008" s="101"/>
      <c r="AH1008" s="101"/>
      <c r="AI1008" s="101"/>
      <c r="AJ1008" s="101"/>
      <c r="AK1008" s="88"/>
      <c r="AL1008" s="88"/>
      <c r="AM1008" s="88"/>
      <c r="AN1008" s="88"/>
      <c r="AO1008" s="88"/>
      <c r="AP1008" s="88"/>
      <c r="AQ1008" s="88"/>
      <c r="AR1008" s="88"/>
      <c r="AS1008" s="88"/>
      <c r="AT1008" s="88"/>
      <c r="AU1008" s="88"/>
      <c r="AV1008" s="88"/>
      <c r="AW1008" s="88"/>
      <c r="AX1008" s="88"/>
      <c r="AY1008" s="88"/>
      <c r="AZ1008" s="88"/>
      <c r="BA1008" s="88"/>
      <c r="BB1008" s="88"/>
      <c r="BC1008" s="88"/>
      <c r="BD1008" s="88"/>
    </row>
    <row r="1009" spans="1:56" ht="12.55" x14ac:dyDescent="0.2">
      <c r="A1009" s="88"/>
      <c r="B1009" s="88"/>
      <c r="C1009" s="88"/>
      <c r="D1009" s="88"/>
      <c r="E1009" s="88"/>
      <c r="F1009" s="101"/>
      <c r="G1009" s="101"/>
      <c r="H1009" s="101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1"/>
      <c r="U1009" s="101"/>
      <c r="V1009" s="101"/>
      <c r="W1009" s="101"/>
      <c r="X1009" s="101"/>
      <c r="Y1009" s="101"/>
      <c r="Z1009" s="101"/>
      <c r="AA1009" s="101"/>
      <c r="AB1009" s="101"/>
      <c r="AC1009" s="101"/>
      <c r="AD1009" s="101"/>
      <c r="AE1009" s="101"/>
      <c r="AF1009" s="101"/>
      <c r="AG1009" s="101"/>
      <c r="AH1009" s="101"/>
      <c r="AI1009" s="101"/>
      <c r="AJ1009" s="101"/>
      <c r="AK1009" s="88"/>
      <c r="AL1009" s="88"/>
      <c r="AM1009" s="88"/>
      <c r="AN1009" s="88"/>
      <c r="AO1009" s="88"/>
      <c r="AP1009" s="88"/>
      <c r="AQ1009" s="88"/>
      <c r="AR1009" s="88"/>
      <c r="AS1009" s="88"/>
      <c r="AT1009" s="88"/>
      <c r="AU1009" s="88"/>
      <c r="AV1009" s="88"/>
      <c r="AW1009" s="88"/>
      <c r="AX1009" s="88"/>
      <c r="AY1009" s="88"/>
      <c r="AZ1009" s="88"/>
      <c r="BA1009" s="88"/>
      <c r="BB1009" s="88"/>
      <c r="BC1009" s="88"/>
      <c r="BD1009" s="88"/>
    </row>
    <row r="1010" spans="1:56" ht="12.55" x14ac:dyDescent="0.2">
      <c r="A1010" s="88"/>
      <c r="B1010" s="88"/>
      <c r="C1010" s="88"/>
      <c r="D1010" s="88"/>
      <c r="E1010" s="88"/>
      <c r="F1010" s="101"/>
      <c r="G1010" s="101"/>
      <c r="H1010" s="101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1"/>
      <c r="U1010" s="101"/>
      <c r="V1010" s="101"/>
      <c r="W1010" s="101"/>
      <c r="X1010" s="101"/>
      <c r="Y1010" s="101"/>
      <c r="Z1010" s="101"/>
      <c r="AA1010" s="101"/>
      <c r="AB1010" s="101"/>
      <c r="AC1010" s="101"/>
      <c r="AD1010" s="101"/>
      <c r="AE1010" s="101"/>
      <c r="AF1010" s="101"/>
      <c r="AG1010" s="101"/>
      <c r="AH1010" s="101"/>
      <c r="AI1010" s="101"/>
      <c r="AJ1010" s="101"/>
      <c r="AK1010" s="88"/>
      <c r="AL1010" s="88"/>
      <c r="AM1010" s="88"/>
      <c r="AN1010" s="88"/>
      <c r="AO1010" s="88"/>
      <c r="AP1010" s="88"/>
      <c r="AQ1010" s="88"/>
      <c r="AR1010" s="88"/>
      <c r="AS1010" s="88"/>
      <c r="AT1010" s="88"/>
      <c r="AU1010" s="88"/>
      <c r="AV1010" s="88"/>
      <c r="AW1010" s="88"/>
      <c r="AX1010" s="88"/>
      <c r="AY1010" s="88"/>
      <c r="AZ1010" s="88"/>
      <c r="BA1010" s="88"/>
      <c r="BB1010" s="88"/>
      <c r="BC1010" s="88"/>
      <c r="BD1010" s="88"/>
    </row>
    <row r="1011" spans="1:56" ht="12.55" x14ac:dyDescent="0.2">
      <c r="A1011" s="88"/>
      <c r="B1011" s="88"/>
      <c r="C1011" s="88"/>
      <c r="D1011" s="88"/>
      <c r="E1011" s="88"/>
      <c r="F1011" s="101"/>
      <c r="G1011" s="101"/>
      <c r="H1011" s="101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1"/>
      <c r="U1011" s="101"/>
      <c r="V1011" s="101"/>
      <c r="W1011" s="101"/>
      <c r="X1011" s="101"/>
      <c r="Y1011" s="101"/>
      <c r="Z1011" s="101"/>
      <c r="AA1011" s="101"/>
      <c r="AB1011" s="101"/>
      <c r="AC1011" s="101"/>
      <c r="AD1011" s="101"/>
      <c r="AE1011" s="101"/>
      <c r="AF1011" s="101"/>
      <c r="AG1011" s="101"/>
      <c r="AH1011" s="101"/>
      <c r="AI1011" s="101"/>
      <c r="AJ1011" s="101"/>
      <c r="AK1011" s="88"/>
      <c r="AL1011" s="88"/>
      <c r="AM1011" s="88"/>
      <c r="AN1011" s="88"/>
      <c r="AO1011" s="88"/>
      <c r="AP1011" s="88"/>
      <c r="AQ1011" s="88"/>
      <c r="AR1011" s="88"/>
      <c r="AS1011" s="88"/>
      <c r="AT1011" s="88"/>
      <c r="AU1011" s="88"/>
      <c r="AV1011" s="88"/>
      <c r="AW1011" s="88"/>
      <c r="AX1011" s="88"/>
      <c r="AY1011" s="88"/>
      <c r="AZ1011" s="88"/>
      <c r="BA1011" s="88"/>
      <c r="BB1011" s="88"/>
      <c r="BC1011" s="88"/>
      <c r="BD1011" s="88"/>
    </row>
    <row r="1012" spans="1:56" ht="12.55" x14ac:dyDescent="0.2">
      <c r="A1012" s="88"/>
      <c r="B1012" s="88"/>
      <c r="C1012" s="88"/>
      <c r="D1012" s="88"/>
      <c r="E1012" s="88"/>
      <c r="F1012" s="101"/>
      <c r="G1012" s="101"/>
      <c r="H1012" s="101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1"/>
      <c r="U1012" s="101"/>
      <c r="V1012" s="101"/>
      <c r="W1012" s="101"/>
      <c r="X1012" s="101"/>
      <c r="Y1012" s="101"/>
      <c r="Z1012" s="101"/>
      <c r="AA1012" s="101"/>
      <c r="AB1012" s="101"/>
      <c r="AC1012" s="101"/>
      <c r="AD1012" s="101"/>
      <c r="AE1012" s="101"/>
      <c r="AF1012" s="101"/>
      <c r="AG1012" s="101"/>
      <c r="AH1012" s="101"/>
      <c r="AI1012" s="101"/>
      <c r="AJ1012" s="101"/>
      <c r="AK1012" s="88"/>
      <c r="AL1012" s="88"/>
      <c r="AM1012" s="88"/>
      <c r="AN1012" s="88"/>
      <c r="AO1012" s="88"/>
      <c r="AP1012" s="88"/>
      <c r="AQ1012" s="88"/>
      <c r="AR1012" s="88"/>
      <c r="AS1012" s="88"/>
      <c r="AT1012" s="88"/>
      <c r="AU1012" s="88"/>
      <c r="AV1012" s="88"/>
      <c r="AW1012" s="88"/>
      <c r="AX1012" s="88"/>
      <c r="AY1012" s="88"/>
      <c r="AZ1012" s="88"/>
      <c r="BA1012" s="88"/>
      <c r="BB1012" s="88"/>
      <c r="BC1012" s="88"/>
      <c r="BD1012" s="88"/>
    </row>
    <row r="1013" spans="1:56" ht="12.55" x14ac:dyDescent="0.2">
      <c r="A1013" s="88"/>
      <c r="B1013" s="88"/>
      <c r="C1013" s="88"/>
      <c r="D1013" s="88"/>
      <c r="E1013" s="88"/>
      <c r="F1013" s="101"/>
      <c r="G1013" s="101"/>
      <c r="H1013" s="101"/>
      <c r="I1013" s="101"/>
      <c r="J1013" s="101"/>
      <c r="K1013" s="101"/>
      <c r="L1013" s="101"/>
      <c r="M1013" s="101"/>
      <c r="N1013" s="101"/>
      <c r="O1013" s="101"/>
      <c r="P1013" s="101"/>
      <c r="Q1013" s="101"/>
      <c r="R1013" s="101"/>
      <c r="S1013" s="101"/>
      <c r="T1013" s="101"/>
      <c r="U1013" s="101"/>
      <c r="V1013" s="101"/>
      <c r="W1013" s="101"/>
      <c r="X1013" s="101"/>
      <c r="Y1013" s="101"/>
      <c r="Z1013" s="101"/>
      <c r="AA1013" s="101"/>
      <c r="AB1013" s="101"/>
      <c r="AC1013" s="101"/>
      <c r="AD1013" s="101"/>
      <c r="AE1013" s="101"/>
      <c r="AF1013" s="101"/>
      <c r="AG1013" s="101"/>
      <c r="AH1013" s="101"/>
      <c r="AI1013" s="101"/>
      <c r="AJ1013" s="101"/>
      <c r="AK1013" s="88"/>
      <c r="AL1013" s="88"/>
      <c r="AM1013" s="88"/>
      <c r="AN1013" s="88"/>
      <c r="AO1013" s="88"/>
      <c r="AP1013" s="88"/>
      <c r="AQ1013" s="88"/>
      <c r="AR1013" s="88"/>
      <c r="AS1013" s="88"/>
      <c r="AT1013" s="88"/>
      <c r="AU1013" s="88"/>
      <c r="AV1013" s="88"/>
      <c r="AW1013" s="88"/>
      <c r="AX1013" s="88"/>
      <c r="AY1013" s="88"/>
      <c r="AZ1013" s="88"/>
      <c r="BA1013" s="88"/>
      <c r="BB1013" s="88"/>
      <c r="BC1013" s="88"/>
      <c r="BD1013" s="88"/>
    </row>
    <row r="1014" spans="1:56" ht="12.55" x14ac:dyDescent="0.2">
      <c r="A1014" s="88"/>
      <c r="B1014" s="88"/>
      <c r="C1014" s="88"/>
      <c r="D1014" s="88"/>
      <c r="E1014" s="88"/>
      <c r="F1014" s="101"/>
      <c r="G1014" s="101"/>
      <c r="H1014" s="101"/>
      <c r="I1014" s="101"/>
      <c r="J1014" s="101"/>
      <c r="K1014" s="101"/>
      <c r="L1014" s="101"/>
      <c r="M1014" s="101"/>
      <c r="N1014" s="101"/>
      <c r="O1014" s="101"/>
      <c r="P1014" s="101"/>
      <c r="Q1014" s="101"/>
      <c r="R1014" s="101"/>
      <c r="S1014" s="101"/>
      <c r="T1014" s="101"/>
      <c r="U1014" s="101"/>
      <c r="V1014" s="101"/>
      <c r="W1014" s="101"/>
      <c r="X1014" s="101"/>
      <c r="Y1014" s="101"/>
      <c r="Z1014" s="101"/>
      <c r="AA1014" s="101"/>
      <c r="AB1014" s="101"/>
      <c r="AC1014" s="101"/>
      <c r="AD1014" s="101"/>
      <c r="AE1014" s="101"/>
      <c r="AF1014" s="101"/>
      <c r="AG1014" s="101"/>
      <c r="AH1014" s="101"/>
      <c r="AI1014" s="101"/>
      <c r="AJ1014" s="101"/>
      <c r="AK1014" s="88"/>
      <c r="AL1014" s="88"/>
      <c r="AM1014" s="88"/>
      <c r="AN1014" s="88"/>
      <c r="AO1014" s="88"/>
      <c r="AP1014" s="88"/>
      <c r="AQ1014" s="88"/>
      <c r="AR1014" s="88"/>
      <c r="AS1014" s="88"/>
      <c r="AT1014" s="88"/>
      <c r="AU1014" s="88"/>
      <c r="AV1014" s="88"/>
      <c r="AW1014" s="88"/>
      <c r="AX1014" s="88"/>
      <c r="AY1014" s="88"/>
      <c r="AZ1014" s="88"/>
      <c r="BA1014" s="88"/>
      <c r="BB1014" s="88"/>
      <c r="BC1014" s="88"/>
      <c r="BD1014" s="88"/>
    </row>
    <row r="1015" spans="1:56" ht="12.55" x14ac:dyDescent="0.2">
      <c r="A1015" s="88"/>
      <c r="B1015" s="88"/>
      <c r="C1015" s="88"/>
      <c r="D1015" s="88"/>
      <c r="E1015" s="88"/>
      <c r="F1015" s="101"/>
      <c r="G1015" s="101"/>
      <c r="H1015" s="101"/>
      <c r="I1015" s="101"/>
      <c r="J1015" s="101"/>
      <c r="K1015" s="101"/>
      <c r="L1015" s="101"/>
      <c r="M1015" s="101"/>
      <c r="N1015" s="101"/>
      <c r="O1015" s="101"/>
      <c r="P1015" s="101"/>
      <c r="Q1015" s="101"/>
      <c r="R1015" s="101"/>
      <c r="S1015" s="101"/>
      <c r="T1015" s="101"/>
      <c r="U1015" s="101"/>
      <c r="V1015" s="101"/>
      <c r="W1015" s="101"/>
      <c r="X1015" s="101"/>
      <c r="Y1015" s="101"/>
      <c r="Z1015" s="101"/>
      <c r="AA1015" s="101"/>
      <c r="AB1015" s="101"/>
      <c r="AC1015" s="101"/>
      <c r="AD1015" s="101"/>
      <c r="AE1015" s="101"/>
      <c r="AF1015" s="101"/>
      <c r="AG1015" s="101"/>
      <c r="AH1015" s="101"/>
      <c r="AI1015" s="101"/>
      <c r="AJ1015" s="101"/>
      <c r="AK1015" s="88"/>
      <c r="AL1015" s="88"/>
      <c r="AM1015" s="88"/>
      <c r="AN1015" s="88"/>
      <c r="AO1015" s="88"/>
      <c r="AP1015" s="88"/>
      <c r="AQ1015" s="88"/>
      <c r="AR1015" s="88"/>
      <c r="AS1015" s="88"/>
      <c r="AT1015" s="88"/>
      <c r="AU1015" s="88"/>
      <c r="AV1015" s="88"/>
      <c r="AW1015" s="88"/>
      <c r="AX1015" s="88"/>
      <c r="AY1015" s="88"/>
      <c r="AZ1015" s="88"/>
      <c r="BA1015" s="88"/>
      <c r="BB1015" s="88"/>
      <c r="BC1015" s="88"/>
      <c r="BD1015" s="88"/>
    </row>
    <row r="1016" spans="1:56" ht="12.55" x14ac:dyDescent="0.2">
      <c r="A1016" s="88"/>
      <c r="B1016" s="88"/>
      <c r="C1016" s="88"/>
      <c r="D1016" s="88"/>
      <c r="E1016" s="88"/>
      <c r="F1016" s="101"/>
      <c r="G1016" s="101"/>
      <c r="H1016" s="101"/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101"/>
      <c r="U1016" s="101"/>
      <c r="V1016" s="101"/>
      <c r="W1016" s="101"/>
      <c r="X1016" s="101"/>
      <c r="Y1016" s="101"/>
      <c r="Z1016" s="101"/>
      <c r="AA1016" s="101"/>
      <c r="AB1016" s="101"/>
      <c r="AC1016" s="101"/>
      <c r="AD1016" s="101"/>
      <c r="AE1016" s="101"/>
      <c r="AF1016" s="101"/>
      <c r="AG1016" s="101"/>
      <c r="AH1016" s="101"/>
      <c r="AI1016" s="101"/>
      <c r="AJ1016" s="101"/>
      <c r="AK1016" s="88"/>
      <c r="AL1016" s="88"/>
      <c r="AM1016" s="88"/>
      <c r="AN1016" s="88"/>
      <c r="AO1016" s="88"/>
      <c r="AP1016" s="88"/>
      <c r="AQ1016" s="88"/>
      <c r="AR1016" s="88"/>
      <c r="AS1016" s="88"/>
      <c r="AT1016" s="88"/>
      <c r="AU1016" s="88"/>
      <c r="AV1016" s="88"/>
      <c r="AW1016" s="88"/>
      <c r="AX1016" s="88"/>
      <c r="AY1016" s="88"/>
      <c r="AZ1016" s="88"/>
      <c r="BA1016" s="88"/>
      <c r="BB1016" s="88"/>
      <c r="BC1016" s="88"/>
      <c r="BD1016" s="88"/>
    </row>
    <row r="1017" spans="1:56" ht="12.55" x14ac:dyDescent="0.2">
      <c r="A1017" s="88"/>
      <c r="B1017" s="88"/>
      <c r="C1017" s="88"/>
      <c r="D1017" s="88"/>
      <c r="E1017" s="88"/>
      <c r="F1017" s="101"/>
      <c r="G1017" s="101"/>
      <c r="H1017" s="101"/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101"/>
      <c r="U1017" s="101"/>
      <c r="V1017" s="101"/>
      <c r="W1017" s="101"/>
      <c r="X1017" s="101"/>
      <c r="Y1017" s="101"/>
      <c r="Z1017" s="101"/>
      <c r="AA1017" s="101"/>
      <c r="AB1017" s="101"/>
      <c r="AC1017" s="101"/>
      <c r="AD1017" s="101"/>
      <c r="AE1017" s="101"/>
      <c r="AF1017" s="101"/>
      <c r="AG1017" s="101"/>
      <c r="AH1017" s="101"/>
      <c r="AI1017" s="101"/>
      <c r="AJ1017" s="101"/>
      <c r="AK1017" s="88"/>
      <c r="AL1017" s="88"/>
      <c r="AM1017" s="88"/>
      <c r="AN1017" s="88"/>
      <c r="AO1017" s="88"/>
      <c r="AP1017" s="88"/>
      <c r="AQ1017" s="88"/>
      <c r="AR1017" s="88"/>
      <c r="AS1017" s="88"/>
      <c r="AT1017" s="88"/>
      <c r="AU1017" s="88"/>
      <c r="AV1017" s="88"/>
      <c r="AW1017" s="88"/>
      <c r="AX1017" s="88"/>
      <c r="AY1017" s="88"/>
      <c r="AZ1017" s="88"/>
      <c r="BA1017" s="88"/>
      <c r="BB1017" s="88"/>
      <c r="BC1017" s="88"/>
      <c r="BD1017" s="88"/>
    </row>
    <row r="1018" spans="1:56" ht="12.55" x14ac:dyDescent="0.2">
      <c r="A1018" s="88"/>
      <c r="B1018" s="88"/>
      <c r="C1018" s="88"/>
      <c r="D1018" s="88"/>
      <c r="E1018" s="88"/>
      <c r="F1018" s="101"/>
      <c r="G1018" s="101"/>
      <c r="H1018" s="101"/>
      <c r="I1018" s="101"/>
      <c r="J1018" s="101"/>
      <c r="K1018" s="101"/>
      <c r="L1018" s="101"/>
      <c r="M1018" s="101"/>
      <c r="N1018" s="101"/>
      <c r="O1018" s="101"/>
      <c r="P1018" s="101"/>
      <c r="Q1018" s="101"/>
      <c r="R1018" s="101"/>
      <c r="S1018" s="101"/>
      <c r="T1018" s="101"/>
      <c r="U1018" s="101"/>
      <c r="V1018" s="101"/>
      <c r="W1018" s="101"/>
      <c r="X1018" s="101"/>
      <c r="Y1018" s="101"/>
      <c r="Z1018" s="101"/>
      <c r="AA1018" s="101"/>
      <c r="AB1018" s="101"/>
      <c r="AC1018" s="101"/>
      <c r="AD1018" s="101"/>
      <c r="AE1018" s="101"/>
      <c r="AF1018" s="101"/>
      <c r="AG1018" s="101"/>
      <c r="AH1018" s="101"/>
      <c r="AI1018" s="101"/>
      <c r="AJ1018" s="101"/>
      <c r="AK1018" s="88"/>
      <c r="AL1018" s="88"/>
      <c r="AM1018" s="88"/>
      <c r="AN1018" s="88"/>
      <c r="AO1018" s="88"/>
      <c r="AP1018" s="88"/>
      <c r="AQ1018" s="88"/>
      <c r="AR1018" s="88"/>
      <c r="AS1018" s="88"/>
      <c r="AT1018" s="88"/>
      <c r="AU1018" s="88"/>
      <c r="AV1018" s="88"/>
      <c r="AW1018" s="88"/>
      <c r="AX1018" s="88"/>
      <c r="AY1018" s="88"/>
      <c r="AZ1018" s="88"/>
      <c r="BA1018" s="88"/>
      <c r="BB1018" s="88"/>
      <c r="BC1018" s="88"/>
      <c r="BD1018" s="88"/>
    </row>
    <row r="1019" spans="1:56" ht="12.55" x14ac:dyDescent="0.2">
      <c r="A1019" s="88"/>
      <c r="B1019" s="88"/>
      <c r="C1019" s="88"/>
      <c r="D1019" s="88"/>
      <c r="E1019" s="88"/>
      <c r="F1019" s="101"/>
      <c r="G1019" s="101"/>
      <c r="H1019" s="101"/>
      <c r="I1019" s="101"/>
      <c r="J1019" s="101"/>
      <c r="K1019" s="101"/>
      <c r="L1019" s="101"/>
      <c r="M1019" s="101"/>
      <c r="N1019" s="101"/>
      <c r="O1019" s="101"/>
      <c r="P1019" s="101"/>
      <c r="Q1019" s="101"/>
      <c r="R1019" s="101"/>
      <c r="S1019" s="101"/>
      <c r="T1019" s="101"/>
      <c r="U1019" s="101"/>
      <c r="V1019" s="101"/>
      <c r="W1019" s="101"/>
      <c r="X1019" s="101"/>
      <c r="Y1019" s="101"/>
      <c r="Z1019" s="101"/>
      <c r="AA1019" s="101"/>
      <c r="AB1019" s="101"/>
      <c r="AC1019" s="101"/>
      <c r="AD1019" s="101"/>
      <c r="AE1019" s="101"/>
      <c r="AF1019" s="101"/>
      <c r="AG1019" s="101"/>
      <c r="AH1019" s="101"/>
      <c r="AI1019" s="101"/>
      <c r="AJ1019" s="101"/>
      <c r="AK1019" s="88"/>
      <c r="AL1019" s="88"/>
      <c r="AM1019" s="88"/>
      <c r="AN1019" s="88"/>
      <c r="AO1019" s="88"/>
      <c r="AP1019" s="88"/>
      <c r="AQ1019" s="88"/>
      <c r="AR1019" s="88"/>
      <c r="AS1019" s="88"/>
      <c r="AT1019" s="88"/>
      <c r="AU1019" s="88"/>
      <c r="AV1019" s="88"/>
      <c r="AW1019" s="88"/>
      <c r="AX1019" s="88"/>
      <c r="AY1019" s="88"/>
      <c r="AZ1019" s="88"/>
      <c r="BA1019" s="88"/>
      <c r="BB1019" s="88"/>
      <c r="BC1019" s="88"/>
      <c r="BD1019" s="88"/>
    </row>
    <row r="1020" spans="1:56" ht="12.55" x14ac:dyDescent="0.2">
      <c r="A1020" s="88"/>
      <c r="B1020" s="88"/>
      <c r="C1020" s="88"/>
      <c r="D1020" s="88"/>
      <c r="E1020" s="88"/>
      <c r="F1020" s="101"/>
      <c r="G1020" s="101"/>
      <c r="H1020" s="101"/>
      <c r="I1020" s="101"/>
      <c r="J1020" s="101"/>
      <c r="K1020" s="101"/>
      <c r="L1020" s="101"/>
      <c r="M1020" s="101"/>
      <c r="N1020" s="101"/>
      <c r="O1020" s="101"/>
      <c r="P1020" s="101"/>
      <c r="Q1020" s="101"/>
      <c r="R1020" s="101"/>
      <c r="S1020" s="101"/>
      <c r="T1020" s="101"/>
      <c r="U1020" s="101"/>
      <c r="V1020" s="101"/>
      <c r="W1020" s="101"/>
      <c r="X1020" s="101"/>
      <c r="Y1020" s="101"/>
      <c r="Z1020" s="101"/>
      <c r="AA1020" s="101"/>
      <c r="AB1020" s="101"/>
      <c r="AC1020" s="101"/>
      <c r="AD1020" s="101"/>
      <c r="AE1020" s="101"/>
      <c r="AF1020" s="101"/>
      <c r="AG1020" s="101"/>
      <c r="AH1020" s="101"/>
      <c r="AI1020" s="101"/>
      <c r="AJ1020" s="101"/>
      <c r="AK1020" s="88"/>
      <c r="AL1020" s="88"/>
      <c r="AM1020" s="88"/>
      <c r="AN1020" s="88"/>
      <c r="AO1020" s="88"/>
      <c r="AP1020" s="88"/>
      <c r="AQ1020" s="88"/>
      <c r="AR1020" s="88"/>
      <c r="AS1020" s="88"/>
      <c r="AT1020" s="88"/>
      <c r="AU1020" s="88"/>
      <c r="AV1020" s="88"/>
      <c r="AW1020" s="88"/>
      <c r="AX1020" s="88"/>
      <c r="AY1020" s="88"/>
      <c r="AZ1020" s="88"/>
      <c r="BA1020" s="88"/>
      <c r="BB1020" s="88"/>
      <c r="BC1020" s="88"/>
      <c r="BD1020" s="88"/>
    </row>
    <row r="1021" spans="1:56" ht="12.55" x14ac:dyDescent="0.2">
      <c r="A1021" s="88"/>
      <c r="B1021" s="88"/>
      <c r="C1021" s="88"/>
      <c r="D1021" s="88"/>
      <c r="E1021" s="88"/>
      <c r="F1021" s="101"/>
      <c r="G1021" s="101"/>
      <c r="H1021" s="101"/>
      <c r="I1021" s="101"/>
      <c r="J1021" s="101"/>
      <c r="K1021" s="101"/>
      <c r="L1021" s="101"/>
      <c r="M1021" s="101"/>
      <c r="N1021" s="101"/>
      <c r="O1021" s="101"/>
      <c r="P1021" s="101"/>
      <c r="Q1021" s="101"/>
      <c r="R1021" s="101"/>
      <c r="S1021" s="101"/>
      <c r="T1021" s="101"/>
      <c r="U1021" s="101"/>
      <c r="V1021" s="101"/>
      <c r="W1021" s="101"/>
      <c r="X1021" s="101"/>
      <c r="Y1021" s="101"/>
      <c r="Z1021" s="101"/>
      <c r="AA1021" s="101"/>
      <c r="AB1021" s="101"/>
      <c r="AC1021" s="101"/>
      <c r="AD1021" s="101"/>
      <c r="AE1021" s="101"/>
      <c r="AF1021" s="101"/>
      <c r="AG1021" s="101"/>
      <c r="AH1021" s="101"/>
      <c r="AI1021" s="101"/>
      <c r="AJ1021" s="101"/>
      <c r="AK1021" s="88"/>
      <c r="AL1021" s="88"/>
      <c r="AM1021" s="88"/>
      <c r="AN1021" s="88"/>
      <c r="AO1021" s="88"/>
      <c r="AP1021" s="88"/>
      <c r="AQ1021" s="88"/>
      <c r="AR1021" s="88"/>
      <c r="AS1021" s="88"/>
      <c r="AT1021" s="88"/>
      <c r="AU1021" s="88"/>
      <c r="AV1021" s="88"/>
      <c r="AW1021" s="88"/>
      <c r="AX1021" s="88"/>
      <c r="AY1021" s="88"/>
      <c r="AZ1021" s="88"/>
      <c r="BA1021" s="88"/>
      <c r="BB1021" s="88"/>
      <c r="BC1021" s="88"/>
      <c r="BD1021" s="88"/>
    </row>
    <row r="1022" spans="1:56" ht="12.55" x14ac:dyDescent="0.2">
      <c r="A1022" s="88"/>
      <c r="B1022" s="88"/>
      <c r="C1022" s="88"/>
      <c r="D1022" s="88"/>
      <c r="E1022" s="88"/>
      <c r="F1022" s="101"/>
      <c r="G1022" s="101"/>
      <c r="H1022" s="101"/>
      <c r="I1022" s="101"/>
      <c r="J1022" s="101"/>
      <c r="K1022" s="101"/>
      <c r="L1022" s="101"/>
      <c r="M1022" s="101"/>
      <c r="N1022" s="101"/>
      <c r="O1022" s="101"/>
      <c r="P1022" s="101"/>
      <c r="Q1022" s="101"/>
      <c r="R1022" s="101"/>
      <c r="S1022" s="101"/>
      <c r="T1022" s="101"/>
      <c r="U1022" s="101"/>
      <c r="V1022" s="101"/>
      <c r="W1022" s="101"/>
      <c r="X1022" s="101"/>
      <c r="Y1022" s="101"/>
      <c r="Z1022" s="101"/>
      <c r="AA1022" s="101"/>
      <c r="AB1022" s="101"/>
      <c r="AC1022" s="101"/>
      <c r="AD1022" s="101"/>
      <c r="AE1022" s="101"/>
      <c r="AF1022" s="101"/>
      <c r="AG1022" s="101"/>
      <c r="AH1022" s="101"/>
      <c r="AI1022" s="101"/>
      <c r="AJ1022" s="101"/>
      <c r="AK1022" s="88"/>
      <c r="AL1022" s="88"/>
      <c r="AM1022" s="88"/>
      <c r="AN1022" s="88"/>
      <c r="AO1022" s="88"/>
      <c r="AP1022" s="88"/>
      <c r="AQ1022" s="88"/>
      <c r="AR1022" s="88"/>
      <c r="AS1022" s="88"/>
      <c r="AT1022" s="88"/>
      <c r="AU1022" s="88"/>
      <c r="AV1022" s="88"/>
      <c r="AW1022" s="88"/>
      <c r="AX1022" s="88"/>
      <c r="AY1022" s="88"/>
      <c r="AZ1022" s="88"/>
      <c r="BA1022" s="88"/>
      <c r="BB1022" s="88"/>
      <c r="BC1022" s="88"/>
      <c r="BD1022" s="88"/>
    </row>
    <row r="1023" spans="1:56" ht="12.55" x14ac:dyDescent="0.2">
      <c r="A1023" s="88"/>
      <c r="B1023" s="88"/>
      <c r="C1023" s="88"/>
      <c r="D1023" s="88"/>
      <c r="E1023" s="88"/>
      <c r="F1023" s="101"/>
      <c r="G1023" s="101"/>
      <c r="H1023" s="101"/>
      <c r="I1023" s="101"/>
      <c r="J1023" s="101"/>
      <c r="K1023" s="101"/>
      <c r="L1023" s="101"/>
      <c r="M1023" s="101"/>
      <c r="N1023" s="101"/>
      <c r="O1023" s="101"/>
      <c r="P1023" s="101"/>
      <c r="Q1023" s="101"/>
      <c r="R1023" s="101"/>
      <c r="S1023" s="101"/>
      <c r="T1023" s="101"/>
      <c r="U1023" s="101"/>
      <c r="V1023" s="101"/>
      <c r="W1023" s="101"/>
      <c r="X1023" s="101"/>
      <c r="Y1023" s="101"/>
      <c r="Z1023" s="101"/>
      <c r="AA1023" s="101"/>
      <c r="AB1023" s="101"/>
      <c r="AC1023" s="101"/>
      <c r="AD1023" s="101"/>
      <c r="AE1023" s="101"/>
      <c r="AF1023" s="101"/>
      <c r="AG1023" s="101"/>
      <c r="AH1023" s="101"/>
      <c r="AI1023" s="101"/>
      <c r="AJ1023" s="101"/>
      <c r="AK1023" s="88"/>
      <c r="AL1023" s="88"/>
      <c r="AM1023" s="88"/>
      <c r="AN1023" s="88"/>
      <c r="AO1023" s="88"/>
      <c r="AP1023" s="88"/>
      <c r="AQ1023" s="88"/>
      <c r="AR1023" s="88"/>
      <c r="AS1023" s="88"/>
      <c r="AT1023" s="88"/>
      <c r="AU1023" s="88"/>
      <c r="AV1023" s="88"/>
      <c r="AW1023" s="88"/>
      <c r="AX1023" s="88"/>
      <c r="AY1023" s="88"/>
      <c r="AZ1023" s="88"/>
      <c r="BA1023" s="88"/>
      <c r="BB1023" s="88"/>
      <c r="BC1023" s="88"/>
      <c r="BD1023" s="88"/>
    </row>
    <row r="1024" spans="1:56" ht="12.55" x14ac:dyDescent="0.2">
      <c r="A1024" s="88"/>
      <c r="B1024" s="88"/>
      <c r="C1024" s="88"/>
      <c r="D1024" s="88"/>
      <c r="E1024" s="88"/>
      <c r="F1024" s="101"/>
      <c r="G1024" s="101"/>
      <c r="H1024" s="101"/>
      <c r="I1024" s="101"/>
      <c r="J1024" s="101"/>
      <c r="K1024" s="101"/>
      <c r="L1024" s="101"/>
      <c r="M1024" s="101"/>
      <c r="N1024" s="101"/>
      <c r="O1024" s="101"/>
      <c r="P1024" s="101"/>
      <c r="Q1024" s="101"/>
      <c r="R1024" s="101"/>
      <c r="S1024" s="101"/>
      <c r="T1024" s="101"/>
      <c r="U1024" s="101"/>
      <c r="V1024" s="101"/>
      <c r="W1024" s="101"/>
      <c r="X1024" s="101"/>
      <c r="Y1024" s="101"/>
      <c r="Z1024" s="101"/>
      <c r="AA1024" s="101"/>
      <c r="AB1024" s="101"/>
      <c r="AC1024" s="101"/>
      <c r="AD1024" s="101"/>
      <c r="AE1024" s="101"/>
      <c r="AF1024" s="101"/>
      <c r="AG1024" s="101"/>
      <c r="AH1024" s="101"/>
      <c r="AI1024" s="101"/>
      <c r="AJ1024" s="101"/>
      <c r="AK1024" s="88"/>
      <c r="AL1024" s="88"/>
      <c r="AM1024" s="88"/>
      <c r="AN1024" s="88"/>
      <c r="AO1024" s="88"/>
      <c r="AP1024" s="88"/>
      <c r="AQ1024" s="88"/>
      <c r="AR1024" s="88"/>
      <c r="AS1024" s="88"/>
      <c r="AT1024" s="88"/>
      <c r="AU1024" s="88"/>
      <c r="AV1024" s="88"/>
      <c r="AW1024" s="88"/>
      <c r="AX1024" s="88"/>
      <c r="AY1024" s="88"/>
      <c r="AZ1024" s="88"/>
      <c r="BA1024" s="88"/>
      <c r="BB1024" s="88"/>
      <c r="BC1024" s="88"/>
      <c r="BD1024" s="88"/>
    </row>
    <row r="1025" spans="1:56" ht="12.55" x14ac:dyDescent="0.2">
      <c r="A1025" s="88"/>
      <c r="B1025" s="88"/>
      <c r="C1025" s="88"/>
      <c r="D1025" s="88"/>
      <c r="E1025" s="88"/>
      <c r="F1025" s="101"/>
      <c r="G1025" s="101"/>
      <c r="H1025" s="101"/>
      <c r="I1025" s="101"/>
      <c r="J1025" s="101"/>
      <c r="K1025" s="101"/>
      <c r="L1025" s="101"/>
      <c r="M1025" s="101"/>
      <c r="N1025" s="101"/>
      <c r="O1025" s="101"/>
      <c r="P1025" s="101"/>
      <c r="Q1025" s="101"/>
      <c r="R1025" s="101"/>
      <c r="S1025" s="101"/>
      <c r="T1025" s="101"/>
      <c r="U1025" s="101"/>
      <c r="V1025" s="101"/>
      <c r="W1025" s="101"/>
      <c r="X1025" s="101"/>
      <c r="Y1025" s="101"/>
      <c r="Z1025" s="101"/>
      <c r="AA1025" s="101"/>
      <c r="AB1025" s="101"/>
      <c r="AC1025" s="101"/>
      <c r="AD1025" s="101"/>
      <c r="AE1025" s="101"/>
      <c r="AF1025" s="101"/>
      <c r="AG1025" s="101"/>
      <c r="AH1025" s="101"/>
      <c r="AI1025" s="101"/>
      <c r="AJ1025" s="101"/>
      <c r="AK1025" s="88"/>
      <c r="AL1025" s="88"/>
      <c r="AM1025" s="88"/>
      <c r="AN1025" s="88"/>
      <c r="AO1025" s="88"/>
      <c r="AP1025" s="88"/>
      <c r="AQ1025" s="88"/>
      <c r="AR1025" s="88"/>
      <c r="AS1025" s="88"/>
      <c r="AT1025" s="88"/>
      <c r="AU1025" s="88"/>
      <c r="AV1025" s="88"/>
      <c r="AW1025" s="88"/>
      <c r="AX1025" s="88"/>
      <c r="AY1025" s="88"/>
      <c r="AZ1025" s="88"/>
      <c r="BA1025" s="88"/>
      <c r="BB1025" s="88"/>
      <c r="BC1025" s="88"/>
      <c r="BD1025" s="88"/>
    </row>
    <row r="1026" spans="1:56" ht="12.55" x14ac:dyDescent="0.2">
      <c r="A1026" s="88"/>
      <c r="B1026" s="88"/>
      <c r="C1026" s="88"/>
      <c r="D1026" s="88"/>
      <c r="E1026" s="88"/>
      <c r="F1026" s="101"/>
      <c r="G1026" s="101"/>
      <c r="H1026" s="101"/>
      <c r="I1026" s="101"/>
      <c r="J1026" s="101"/>
      <c r="K1026" s="101"/>
      <c r="L1026" s="101"/>
      <c r="M1026" s="101"/>
      <c r="N1026" s="101"/>
      <c r="O1026" s="101"/>
      <c r="P1026" s="101"/>
      <c r="Q1026" s="101"/>
      <c r="R1026" s="101"/>
      <c r="S1026" s="101"/>
      <c r="T1026" s="101"/>
      <c r="U1026" s="101"/>
      <c r="V1026" s="101"/>
      <c r="W1026" s="101"/>
      <c r="X1026" s="101"/>
      <c r="Y1026" s="101"/>
      <c r="Z1026" s="101"/>
      <c r="AA1026" s="101"/>
      <c r="AB1026" s="101"/>
      <c r="AC1026" s="101"/>
      <c r="AD1026" s="101"/>
      <c r="AE1026" s="101"/>
      <c r="AF1026" s="101"/>
      <c r="AG1026" s="101"/>
      <c r="AH1026" s="101"/>
      <c r="AI1026" s="101"/>
      <c r="AJ1026" s="101"/>
      <c r="AK1026" s="88"/>
      <c r="AL1026" s="88"/>
      <c r="AM1026" s="88"/>
      <c r="AN1026" s="88"/>
      <c r="AO1026" s="88"/>
      <c r="AP1026" s="88"/>
      <c r="AQ1026" s="88"/>
      <c r="AR1026" s="88"/>
      <c r="AS1026" s="88"/>
      <c r="AT1026" s="88"/>
      <c r="AU1026" s="88"/>
      <c r="AV1026" s="88"/>
      <c r="AW1026" s="88"/>
      <c r="AX1026" s="88"/>
      <c r="AY1026" s="88"/>
      <c r="AZ1026" s="88"/>
      <c r="BA1026" s="88"/>
      <c r="BB1026" s="88"/>
      <c r="BC1026" s="88"/>
      <c r="BD1026" s="88"/>
    </row>
    <row r="1027" spans="1:56" ht="12.55" x14ac:dyDescent="0.2">
      <c r="A1027" s="88"/>
      <c r="B1027" s="88"/>
      <c r="C1027" s="88"/>
      <c r="D1027" s="88"/>
      <c r="E1027" s="88"/>
      <c r="F1027" s="101"/>
      <c r="G1027" s="101"/>
      <c r="H1027" s="101"/>
      <c r="I1027" s="101"/>
      <c r="J1027" s="101"/>
      <c r="K1027" s="101"/>
      <c r="L1027" s="101"/>
      <c r="M1027" s="101"/>
      <c r="N1027" s="101"/>
      <c r="O1027" s="101"/>
      <c r="P1027" s="101"/>
      <c r="Q1027" s="101"/>
      <c r="R1027" s="101"/>
      <c r="S1027" s="101"/>
      <c r="T1027" s="101"/>
      <c r="U1027" s="101"/>
      <c r="V1027" s="101"/>
      <c r="W1027" s="101"/>
      <c r="X1027" s="101"/>
      <c r="Y1027" s="101"/>
      <c r="Z1027" s="101"/>
      <c r="AA1027" s="101"/>
      <c r="AB1027" s="101"/>
      <c r="AC1027" s="101"/>
      <c r="AD1027" s="101"/>
      <c r="AE1027" s="101"/>
      <c r="AF1027" s="101"/>
      <c r="AG1027" s="101"/>
      <c r="AH1027" s="101"/>
      <c r="AI1027" s="101"/>
      <c r="AJ1027" s="101"/>
      <c r="AK1027" s="88"/>
      <c r="AL1027" s="88"/>
      <c r="AM1027" s="88"/>
      <c r="AN1027" s="88"/>
      <c r="AO1027" s="88"/>
      <c r="AP1027" s="88"/>
      <c r="AQ1027" s="88"/>
      <c r="AR1027" s="88"/>
      <c r="AS1027" s="88"/>
      <c r="AT1027" s="88"/>
      <c r="AU1027" s="88"/>
      <c r="AV1027" s="88"/>
      <c r="AW1027" s="88"/>
      <c r="AX1027" s="88"/>
      <c r="AY1027" s="88"/>
      <c r="AZ1027" s="88"/>
      <c r="BA1027" s="88"/>
      <c r="BB1027" s="88"/>
      <c r="BC1027" s="88"/>
      <c r="BD1027" s="88"/>
    </row>
    <row r="1028" spans="1:56" ht="12.55" x14ac:dyDescent="0.2">
      <c r="A1028" s="88"/>
      <c r="B1028" s="88"/>
      <c r="C1028" s="88"/>
      <c r="D1028" s="88"/>
      <c r="E1028" s="88"/>
      <c r="F1028" s="101"/>
      <c r="G1028" s="101"/>
      <c r="H1028" s="101"/>
      <c r="I1028" s="101"/>
      <c r="J1028" s="101"/>
      <c r="K1028" s="101"/>
      <c r="L1028" s="101"/>
      <c r="M1028" s="101"/>
      <c r="N1028" s="101"/>
      <c r="O1028" s="101"/>
      <c r="P1028" s="101"/>
      <c r="Q1028" s="101"/>
      <c r="R1028" s="101"/>
      <c r="S1028" s="101"/>
      <c r="T1028" s="101"/>
      <c r="U1028" s="101"/>
      <c r="V1028" s="101"/>
      <c r="W1028" s="101"/>
      <c r="X1028" s="101"/>
      <c r="Y1028" s="101"/>
      <c r="Z1028" s="101"/>
      <c r="AA1028" s="101"/>
      <c r="AB1028" s="101"/>
      <c r="AC1028" s="101"/>
      <c r="AD1028" s="101"/>
      <c r="AE1028" s="101"/>
      <c r="AF1028" s="101"/>
      <c r="AG1028" s="101"/>
      <c r="AH1028" s="101"/>
      <c r="AI1028" s="101"/>
      <c r="AJ1028" s="101"/>
      <c r="AK1028" s="88"/>
      <c r="AL1028" s="88"/>
      <c r="AM1028" s="88"/>
      <c r="AN1028" s="88"/>
      <c r="AO1028" s="88"/>
      <c r="AP1028" s="88"/>
      <c r="AQ1028" s="88"/>
      <c r="AR1028" s="88"/>
      <c r="AS1028" s="88"/>
      <c r="AT1028" s="88"/>
      <c r="AU1028" s="88"/>
      <c r="AV1028" s="88"/>
      <c r="AW1028" s="88"/>
      <c r="AX1028" s="88"/>
      <c r="AY1028" s="88"/>
      <c r="AZ1028" s="88"/>
      <c r="BA1028" s="88"/>
      <c r="BB1028" s="88"/>
      <c r="BC1028" s="88"/>
      <c r="BD1028" s="88"/>
    </row>
    <row r="1029" spans="1:56" ht="12.55" x14ac:dyDescent="0.2">
      <c r="A1029" s="88"/>
      <c r="B1029" s="88"/>
      <c r="C1029" s="88"/>
      <c r="D1029" s="88"/>
      <c r="E1029" s="88"/>
      <c r="F1029" s="101"/>
      <c r="G1029" s="101"/>
      <c r="H1029" s="101"/>
      <c r="I1029" s="101"/>
      <c r="J1029" s="101"/>
      <c r="K1029" s="101"/>
      <c r="L1029" s="101"/>
      <c r="M1029" s="101"/>
      <c r="N1029" s="101"/>
      <c r="O1029" s="101"/>
      <c r="P1029" s="101"/>
      <c r="Q1029" s="101"/>
      <c r="R1029" s="101"/>
      <c r="S1029" s="101"/>
      <c r="T1029" s="101"/>
      <c r="U1029" s="101"/>
      <c r="V1029" s="101"/>
      <c r="W1029" s="101"/>
      <c r="X1029" s="101"/>
      <c r="Y1029" s="101"/>
      <c r="Z1029" s="101"/>
      <c r="AA1029" s="101"/>
      <c r="AB1029" s="101"/>
      <c r="AC1029" s="101"/>
      <c r="AD1029" s="101"/>
      <c r="AE1029" s="101"/>
      <c r="AF1029" s="101"/>
      <c r="AG1029" s="101"/>
      <c r="AH1029" s="101"/>
      <c r="AI1029" s="101"/>
      <c r="AJ1029" s="101"/>
      <c r="AK1029" s="88"/>
      <c r="AL1029" s="88"/>
      <c r="AM1029" s="88"/>
      <c r="AN1029" s="88"/>
      <c r="AO1029" s="88"/>
      <c r="AP1029" s="88"/>
      <c r="AQ1029" s="88"/>
      <c r="AR1029" s="88"/>
      <c r="AS1029" s="88"/>
      <c r="AT1029" s="88"/>
      <c r="AU1029" s="88"/>
      <c r="AV1029" s="88"/>
      <c r="AW1029" s="88"/>
      <c r="AX1029" s="88"/>
      <c r="AY1029" s="88"/>
      <c r="AZ1029" s="88"/>
      <c r="BA1029" s="88"/>
      <c r="BB1029" s="88"/>
      <c r="BC1029" s="88"/>
      <c r="BD1029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List1</vt:lpstr>
      <vt:lpstr>List2</vt:lpstr>
      <vt:lpstr>RNP|ProctoStop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2026-02-18T11:23:21Z</dcterms:created>
  <dcterms:modified xsi:type="dcterms:W3CDTF">2026-02-18T11:23:21Z</dcterms:modified>
</cp:coreProperties>
</file>